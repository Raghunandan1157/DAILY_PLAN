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unandanmali/Downloads/"/>
    </mc:Choice>
  </mc:AlternateContent>
  <xr:revisionPtr revIDLastSave="0" documentId="8_{DFCDCAF9-BCCC-994C-8DC4-CA081C84339B}" xr6:coauthVersionLast="47" xr6:coauthVersionMax="47" xr10:uidLastSave="{00000000-0000-0000-0000-000000000000}"/>
  <bookViews>
    <workbookView xWindow="5580" yWindow="2380" windowWidth="27640" windowHeight="16680" xr2:uid="{D76E2AB1-CC11-7E44-9B8E-F68F8C6B7E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1" i="1" l="1"/>
  <c r="H131" i="1"/>
  <c r="K130" i="1"/>
  <c r="I130" i="1"/>
  <c r="G130" i="1"/>
  <c r="K129" i="1"/>
  <c r="I129" i="1"/>
  <c r="G129" i="1"/>
  <c r="K128" i="1"/>
  <c r="I128" i="1"/>
  <c r="G128" i="1"/>
  <c r="K127" i="1"/>
  <c r="I127" i="1"/>
  <c r="G127" i="1"/>
  <c r="K126" i="1"/>
  <c r="I126" i="1"/>
  <c r="G126" i="1"/>
  <c r="K125" i="1"/>
  <c r="I125" i="1"/>
  <c r="G125" i="1"/>
  <c r="K124" i="1"/>
  <c r="I124" i="1"/>
  <c r="G124" i="1"/>
  <c r="K123" i="1"/>
  <c r="I123" i="1"/>
  <c r="G123" i="1"/>
  <c r="K122" i="1"/>
  <c r="I122" i="1"/>
  <c r="G122" i="1"/>
  <c r="K121" i="1"/>
  <c r="I121" i="1"/>
  <c r="G121" i="1"/>
  <c r="K120" i="1"/>
  <c r="I120" i="1"/>
  <c r="G120" i="1"/>
  <c r="K119" i="1"/>
  <c r="I119" i="1"/>
  <c r="G119" i="1"/>
  <c r="K118" i="1"/>
  <c r="I118" i="1"/>
  <c r="G118" i="1"/>
  <c r="K117" i="1"/>
  <c r="I117" i="1"/>
  <c r="G117" i="1"/>
  <c r="K116" i="1"/>
  <c r="I116" i="1"/>
  <c r="G116" i="1"/>
  <c r="K115" i="1"/>
  <c r="I115" i="1"/>
  <c r="G115" i="1"/>
  <c r="K114" i="1"/>
  <c r="I114" i="1"/>
  <c r="G114" i="1"/>
  <c r="K113" i="1"/>
  <c r="I113" i="1"/>
  <c r="G113" i="1"/>
  <c r="K112" i="1"/>
  <c r="I112" i="1"/>
  <c r="G112" i="1"/>
  <c r="K111" i="1"/>
  <c r="I111" i="1"/>
  <c r="G111" i="1"/>
  <c r="K110" i="1"/>
  <c r="I110" i="1"/>
  <c r="G110" i="1"/>
  <c r="K109" i="1"/>
  <c r="I109" i="1"/>
  <c r="G109" i="1"/>
  <c r="K108" i="1"/>
  <c r="I108" i="1"/>
  <c r="G108" i="1"/>
  <c r="K107" i="1"/>
  <c r="I107" i="1"/>
  <c r="G107" i="1"/>
  <c r="K106" i="1"/>
  <c r="I106" i="1"/>
  <c r="G106" i="1"/>
  <c r="K105" i="1"/>
  <c r="I105" i="1"/>
  <c r="G105" i="1"/>
  <c r="K104" i="1"/>
  <c r="I104" i="1"/>
  <c r="G104" i="1"/>
  <c r="K103" i="1"/>
  <c r="I103" i="1"/>
  <c r="G103" i="1"/>
  <c r="K102" i="1"/>
  <c r="I102" i="1"/>
  <c r="G102" i="1"/>
  <c r="K101" i="1"/>
  <c r="I101" i="1"/>
  <c r="G101" i="1"/>
  <c r="K100" i="1"/>
  <c r="I100" i="1"/>
  <c r="G100" i="1"/>
  <c r="K99" i="1"/>
  <c r="I99" i="1"/>
  <c r="G99" i="1"/>
  <c r="K98" i="1"/>
  <c r="I98" i="1"/>
  <c r="G98" i="1"/>
  <c r="K97" i="1"/>
  <c r="I97" i="1"/>
  <c r="G97" i="1"/>
  <c r="K96" i="1"/>
  <c r="I96" i="1"/>
  <c r="G96" i="1"/>
  <c r="K95" i="1"/>
  <c r="I95" i="1"/>
  <c r="G95" i="1"/>
  <c r="K94" i="1"/>
  <c r="I94" i="1"/>
  <c r="G94" i="1"/>
  <c r="K93" i="1"/>
  <c r="I93" i="1"/>
  <c r="G93" i="1"/>
  <c r="K92" i="1"/>
  <c r="I92" i="1"/>
  <c r="G92" i="1"/>
  <c r="K91" i="1"/>
  <c r="I91" i="1"/>
  <c r="G91" i="1"/>
  <c r="K90" i="1"/>
  <c r="I90" i="1"/>
  <c r="K89" i="1"/>
  <c r="I89" i="1"/>
  <c r="K88" i="1"/>
  <c r="I88" i="1"/>
  <c r="K87" i="1"/>
  <c r="I87" i="1"/>
  <c r="K86" i="1"/>
  <c r="I86" i="1"/>
  <c r="K85" i="1"/>
  <c r="I85" i="1"/>
  <c r="K84" i="1"/>
  <c r="I84" i="1"/>
  <c r="K83" i="1"/>
  <c r="I83" i="1"/>
  <c r="K82" i="1"/>
  <c r="I82" i="1"/>
  <c r="G82" i="1"/>
  <c r="K81" i="1"/>
  <c r="I81" i="1"/>
  <c r="G81" i="1"/>
  <c r="K80" i="1"/>
  <c r="I80" i="1"/>
  <c r="G80" i="1"/>
  <c r="K79" i="1"/>
  <c r="I79" i="1"/>
  <c r="G79" i="1"/>
  <c r="K78" i="1"/>
  <c r="I78" i="1"/>
  <c r="G78" i="1"/>
  <c r="K77" i="1"/>
  <c r="I77" i="1"/>
  <c r="G77" i="1"/>
  <c r="K76" i="1"/>
  <c r="I76" i="1"/>
  <c r="G76" i="1"/>
  <c r="K75" i="1"/>
  <c r="I75" i="1"/>
  <c r="G75" i="1"/>
  <c r="K74" i="1"/>
  <c r="I74" i="1"/>
  <c r="G74" i="1"/>
  <c r="K73" i="1"/>
  <c r="I73" i="1"/>
  <c r="G73" i="1"/>
  <c r="K72" i="1"/>
  <c r="I72" i="1"/>
  <c r="G72" i="1"/>
  <c r="K71" i="1"/>
  <c r="I71" i="1"/>
  <c r="G71" i="1"/>
  <c r="K70" i="1"/>
  <c r="I70" i="1"/>
  <c r="G70" i="1"/>
  <c r="K69" i="1"/>
  <c r="I69" i="1"/>
  <c r="G69" i="1"/>
  <c r="K68" i="1"/>
  <c r="I68" i="1"/>
  <c r="G68" i="1"/>
  <c r="K67" i="1"/>
  <c r="I67" i="1"/>
  <c r="G67" i="1"/>
  <c r="K66" i="1"/>
  <c r="I66" i="1"/>
  <c r="G66" i="1"/>
  <c r="K65" i="1"/>
  <c r="I65" i="1"/>
  <c r="G65" i="1"/>
  <c r="K64" i="1"/>
  <c r="I64" i="1"/>
  <c r="G64" i="1"/>
  <c r="K63" i="1"/>
  <c r="I63" i="1"/>
  <c r="G63" i="1"/>
  <c r="K62" i="1"/>
  <c r="I62" i="1"/>
  <c r="G62" i="1"/>
  <c r="K61" i="1"/>
  <c r="I61" i="1"/>
  <c r="G61" i="1"/>
  <c r="K60" i="1"/>
  <c r="I60" i="1"/>
  <c r="G60" i="1"/>
  <c r="K59" i="1"/>
  <c r="I59" i="1"/>
  <c r="G59" i="1"/>
  <c r="K58" i="1"/>
  <c r="I58" i="1"/>
  <c r="G58" i="1"/>
  <c r="K57" i="1"/>
  <c r="I57" i="1"/>
  <c r="G57" i="1"/>
  <c r="K56" i="1"/>
  <c r="I56" i="1"/>
  <c r="G56" i="1"/>
  <c r="K55" i="1"/>
  <c r="I55" i="1"/>
  <c r="G55" i="1"/>
  <c r="K54" i="1"/>
  <c r="I54" i="1"/>
  <c r="G54" i="1"/>
  <c r="K53" i="1"/>
  <c r="I53" i="1"/>
  <c r="G53" i="1"/>
  <c r="K52" i="1"/>
  <c r="I52" i="1"/>
  <c r="G52" i="1"/>
  <c r="K51" i="1"/>
  <c r="I51" i="1"/>
  <c r="G51" i="1"/>
  <c r="K50" i="1"/>
  <c r="I50" i="1"/>
  <c r="G50" i="1"/>
  <c r="K49" i="1"/>
  <c r="I49" i="1"/>
  <c r="G49" i="1"/>
  <c r="K48" i="1"/>
  <c r="I48" i="1"/>
  <c r="G48" i="1"/>
  <c r="K47" i="1"/>
  <c r="I47" i="1"/>
  <c r="G47" i="1"/>
  <c r="K46" i="1"/>
  <c r="I46" i="1"/>
  <c r="G46" i="1"/>
  <c r="K45" i="1"/>
  <c r="I45" i="1"/>
  <c r="G45" i="1"/>
  <c r="K44" i="1"/>
  <c r="I44" i="1"/>
  <c r="G44" i="1"/>
  <c r="K43" i="1"/>
  <c r="I43" i="1"/>
  <c r="G43" i="1"/>
  <c r="K42" i="1"/>
  <c r="I42" i="1"/>
  <c r="G42" i="1"/>
  <c r="K41" i="1"/>
  <c r="I41" i="1"/>
  <c r="G41" i="1"/>
  <c r="K40" i="1"/>
  <c r="I40" i="1"/>
  <c r="G40" i="1"/>
  <c r="K39" i="1"/>
  <c r="I39" i="1"/>
  <c r="G39" i="1"/>
  <c r="K38" i="1"/>
  <c r="I38" i="1"/>
  <c r="G38" i="1"/>
  <c r="K37" i="1"/>
  <c r="I37" i="1"/>
  <c r="G37" i="1"/>
  <c r="K36" i="1"/>
  <c r="I36" i="1"/>
  <c r="G36" i="1"/>
  <c r="K35" i="1"/>
  <c r="I35" i="1"/>
  <c r="G35" i="1"/>
  <c r="K34" i="1"/>
  <c r="I34" i="1"/>
  <c r="G34" i="1"/>
  <c r="K33" i="1"/>
  <c r="I33" i="1"/>
  <c r="G33" i="1"/>
  <c r="K32" i="1"/>
  <c r="I32" i="1"/>
  <c r="G32" i="1"/>
  <c r="K31" i="1"/>
  <c r="I31" i="1"/>
  <c r="G31" i="1"/>
  <c r="K30" i="1"/>
  <c r="I30" i="1"/>
  <c r="G30" i="1"/>
  <c r="K29" i="1"/>
  <c r="I29" i="1"/>
  <c r="G29" i="1"/>
  <c r="K28" i="1"/>
  <c r="I28" i="1"/>
  <c r="G28" i="1"/>
  <c r="K27" i="1"/>
  <c r="I27" i="1"/>
  <c r="G27" i="1"/>
  <c r="K26" i="1"/>
  <c r="I26" i="1"/>
  <c r="G26" i="1"/>
  <c r="K25" i="1"/>
  <c r="I25" i="1"/>
  <c r="G25" i="1"/>
  <c r="K24" i="1"/>
  <c r="I24" i="1"/>
  <c r="G24" i="1"/>
  <c r="K23" i="1"/>
  <c r="I23" i="1"/>
  <c r="G23" i="1"/>
  <c r="K22" i="1"/>
  <c r="I22" i="1"/>
  <c r="G22" i="1"/>
  <c r="K21" i="1"/>
  <c r="I21" i="1"/>
  <c r="G21" i="1"/>
  <c r="K20" i="1"/>
  <c r="I20" i="1"/>
  <c r="G20" i="1"/>
  <c r="K19" i="1"/>
  <c r="I19" i="1"/>
  <c r="G19" i="1"/>
  <c r="K18" i="1"/>
  <c r="I18" i="1"/>
  <c r="G18" i="1"/>
  <c r="K17" i="1"/>
  <c r="I17" i="1"/>
  <c r="G17" i="1"/>
  <c r="K16" i="1"/>
  <c r="I16" i="1"/>
  <c r="G16" i="1"/>
  <c r="K15" i="1"/>
  <c r="I15" i="1"/>
  <c r="G15" i="1"/>
  <c r="K14" i="1"/>
  <c r="I14" i="1"/>
  <c r="G14" i="1"/>
  <c r="K13" i="1"/>
  <c r="I13" i="1"/>
  <c r="G13" i="1"/>
  <c r="K12" i="1"/>
  <c r="I12" i="1"/>
  <c r="G12" i="1"/>
  <c r="K11" i="1"/>
  <c r="I11" i="1"/>
  <c r="G11" i="1"/>
  <c r="K10" i="1"/>
  <c r="I10" i="1"/>
  <c r="G10" i="1"/>
  <c r="K9" i="1"/>
  <c r="I9" i="1"/>
  <c r="G9" i="1"/>
  <c r="K8" i="1"/>
  <c r="I8" i="1"/>
  <c r="G8" i="1"/>
  <c r="K7" i="1"/>
  <c r="I7" i="1"/>
  <c r="K6" i="1"/>
  <c r="I6" i="1"/>
  <c r="K5" i="1"/>
  <c r="I5" i="1"/>
  <c r="AA4" i="1"/>
  <c r="W4" i="1"/>
  <c r="K4" i="1"/>
  <c r="K131" i="1" s="1"/>
  <c r="I4" i="1"/>
  <c r="I131" i="1" s="1"/>
</calcChain>
</file>

<file path=xl/sharedStrings.xml><?xml version="1.0" encoding="utf-8"?>
<sst xmlns="http://schemas.openxmlformats.org/spreadsheetml/2006/main" count="562" uniqueCount="203">
  <si>
    <t>Disbursement TARGET</t>
  </si>
  <si>
    <t>Disbursement Achievement</t>
  </si>
  <si>
    <t>November Slipped Accounts</t>
  </si>
  <si>
    <t>Collection</t>
  </si>
  <si>
    <t>Sanction Pending</t>
  </si>
  <si>
    <t>IGL &amp; FIG</t>
  </si>
  <si>
    <t>IL</t>
  </si>
  <si>
    <t>1 - 30 DPD Collection Plan</t>
  </si>
  <si>
    <t>1 - 30 DPD Achievement</t>
  </si>
  <si>
    <t>FTOD PLAN</t>
  </si>
  <si>
    <t>FTOD ACHIEVEMENT</t>
  </si>
  <si>
    <t>PNPA PLAN</t>
  </si>
  <si>
    <t>PNPA ACHIEVEMENT</t>
  </si>
  <si>
    <t>NPA PLAN</t>
  </si>
  <si>
    <t>NPA Achievement</t>
  </si>
  <si>
    <t>Branch</t>
  </si>
  <si>
    <t>District</t>
  </si>
  <si>
    <t>DM name</t>
  </si>
  <si>
    <t>Region</t>
  </si>
  <si>
    <t>FO Count</t>
  </si>
  <si>
    <t>Accounts</t>
  </si>
  <si>
    <t>Amount</t>
  </si>
  <si>
    <t>KYC Sourcing</t>
  </si>
  <si>
    <t>Actual Acc</t>
  </si>
  <si>
    <t>1 EMI Collection</t>
  </si>
  <si>
    <t>2 EMI Collection</t>
  </si>
  <si>
    <t>Balance</t>
  </si>
  <si>
    <t>Collection Plan</t>
  </si>
  <si>
    <t>Actual Collected</t>
  </si>
  <si>
    <t>Activation</t>
  </si>
  <si>
    <t>Closure</t>
  </si>
  <si>
    <t>KADIRI</t>
  </si>
  <si>
    <t>KADAPA</t>
  </si>
  <si>
    <t>PUTTA PRASAD</t>
  </si>
  <si>
    <t>ANDRA PRADESH</t>
  </si>
  <si>
    <t>DHARMAVARAM</t>
  </si>
  <si>
    <t>BUDWAL</t>
  </si>
  <si>
    <t>GOKAK</t>
  </si>
  <si>
    <t>BELAGAVI</t>
  </si>
  <si>
    <t>HAJIALI TIGADI</t>
  </si>
  <si>
    <t xml:space="preserve">DHARWAD </t>
  </si>
  <si>
    <t>KUDLIGI</t>
  </si>
  <si>
    <t>A B MANJUNATHA</t>
  </si>
  <si>
    <t>KITTUR</t>
  </si>
  <si>
    <t>NARAGUNDA</t>
  </si>
  <si>
    <t>BADAMI</t>
  </si>
  <si>
    <t>BASAVARAJAPPA</t>
  </si>
  <si>
    <t>GADAG</t>
  </si>
  <si>
    <t>CHANDRAGOUD PATIL</t>
  </si>
  <si>
    <t>CHIKKODI</t>
  </si>
  <si>
    <t>SUNIL KUBER MALAGE</t>
  </si>
  <si>
    <t>KHANAHOSAHALLI</t>
  </si>
  <si>
    <t>LAXMESHWAR</t>
  </si>
  <si>
    <t>HARIHARA</t>
  </si>
  <si>
    <t>DAVANAGERE</t>
  </si>
  <si>
    <t>DAMODHARA</t>
  </si>
  <si>
    <t>SANTHEBENNURU</t>
  </si>
  <si>
    <t>HAGARIBOMMANAHALLI</t>
  </si>
  <si>
    <t>VIJAYANAGARA</t>
  </si>
  <si>
    <t>PAVANKUMAR SHERKHANE</t>
  </si>
  <si>
    <t>MUNDARAGI</t>
  </si>
  <si>
    <t>SANDURU</t>
  </si>
  <si>
    <t>BALLARI</t>
  </si>
  <si>
    <t>BAIRAPPA</t>
  </si>
  <si>
    <t>GAJENDRAGAD</t>
  </si>
  <si>
    <t>HARAPANAHALLI</t>
  </si>
  <si>
    <t>SIRUGUPPA</t>
  </si>
  <si>
    <t>BAILHONGAL</t>
  </si>
  <si>
    <t>KOTTURU</t>
  </si>
  <si>
    <t>HONNALI</t>
  </si>
  <si>
    <t>HUVENAHADAGALLI</t>
  </si>
  <si>
    <t>NIPPANI</t>
  </si>
  <si>
    <t>RAMDURGA</t>
  </si>
  <si>
    <t>DHARWAD</t>
  </si>
  <si>
    <t>GANAPATI FAKKIRAPPA BAVUKAR</t>
  </si>
  <si>
    <t>MUDALAGI</t>
  </si>
  <si>
    <t>ATHANI</t>
  </si>
  <si>
    <t>YARAGATTI</t>
  </si>
  <si>
    <t>HOSPET</t>
  </si>
  <si>
    <t>KALGHATGI</t>
  </si>
  <si>
    <t>KUDATHINI</t>
  </si>
  <si>
    <t>HUBLI-2</t>
  </si>
  <si>
    <t>HUBLI</t>
  </si>
  <si>
    <t>LOKAPUR</t>
  </si>
  <si>
    <t>BAGALKOTE</t>
  </si>
  <si>
    <t>DODDAADIVEPPA BASETEPPA NAVALGUND</t>
  </si>
  <si>
    <t xml:space="preserve">KALBURGI </t>
  </si>
  <si>
    <t>SIRWAR</t>
  </si>
  <si>
    <t>LINGSUGUR</t>
  </si>
  <si>
    <t>PANDARIGONDA</t>
  </si>
  <si>
    <t>JAMAKHANDI</t>
  </si>
  <si>
    <t>BILAGI</t>
  </si>
  <si>
    <t>KOPPAL</t>
  </si>
  <si>
    <t>KUSHTAGI</t>
  </si>
  <si>
    <t>VIRUPAKSHAPPA CHOUDI</t>
  </si>
  <si>
    <t>SEDAM</t>
  </si>
  <si>
    <t>PHILIP</t>
  </si>
  <si>
    <t>JEVARGI</t>
  </si>
  <si>
    <t>KALBURGI</t>
  </si>
  <si>
    <t>PRASHANTH</t>
  </si>
  <si>
    <t>CHADCHAN</t>
  </si>
  <si>
    <t>INDI</t>
  </si>
  <si>
    <t>RAJKUMAR PAWAR</t>
  </si>
  <si>
    <t>ALMEL</t>
  </si>
  <si>
    <t>MANVI</t>
  </si>
  <si>
    <t>BAGALKOT</t>
  </si>
  <si>
    <t>CHINCHOLI</t>
  </si>
  <si>
    <t>TALIKOTI</t>
  </si>
  <si>
    <t>VIJAYAPURA</t>
  </si>
  <si>
    <t>GOVIND BADIGER</t>
  </si>
  <si>
    <t>RAICHUR</t>
  </si>
  <si>
    <t>HUMNABAD</t>
  </si>
  <si>
    <t>MALLIKARJUN WAGHRAJ</t>
  </si>
  <si>
    <t>KAMALAPURA</t>
  </si>
  <si>
    <t>DEVADURGA</t>
  </si>
  <si>
    <t>SHAHAPUR</t>
  </si>
  <si>
    <t>VEERESH</t>
  </si>
  <si>
    <t>SINDAGI</t>
  </si>
  <si>
    <t>SINDHNUR</t>
  </si>
  <si>
    <t>KALABURAGI</t>
  </si>
  <si>
    <t>MUDDEBIHAL</t>
  </si>
  <si>
    <t>HULSOOR</t>
  </si>
  <si>
    <t>HUNGUND</t>
  </si>
  <si>
    <t>AFZALPUR</t>
  </si>
  <si>
    <t>TIKOTA</t>
  </si>
  <si>
    <t>ALAND</t>
  </si>
  <si>
    <t>BHALKI</t>
  </si>
  <si>
    <t>BIDAR</t>
  </si>
  <si>
    <t>MANOHAR</t>
  </si>
  <si>
    <t>BASAVAKALYAN</t>
  </si>
  <si>
    <t>GANGAVATHI</t>
  </si>
  <si>
    <t>KALBURGI-2</t>
  </si>
  <si>
    <t>AURAD</t>
  </si>
  <si>
    <t>YADGIR</t>
  </si>
  <si>
    <t>VIJAYAPUR</t>
  </si>
  <si>
    <t>BIDAR-2</t>
  </si>
  <si>
    <t>KALAGI</t>
  </si>
  <si>
    <t>TANDUR</t>
  </si>
  <si>
    <t>MAHABOOBNAGAR</t>
  </si>
  <si>
    <t>MADHU</t>
  </si>
  <si>
    <t>TELANGANA</t>
  </si>
  <si>
    <t>MARIKAL</t>
  </si>
  <si>
    <t>KODANGAL</t>
  </si>
  <si>
    <t>SANGAREDDY</t>
  </si>
  <si>
    <t>SAMPATH KUMAR</t>
  </si>
  <si>
    <t>MAHABUB NAGAR</t>
  </si>
  <si>
    <t>NARAYANKHED</t>
  </si>
  <si>
    <t>ZAHEERABAD</t>
  </si>
  <si>
    <t>GADWAL</t>
  </si>
  <si>
    <t>CHIKKANAYAKANAHALLI</t>
  </si>
  <si>
    <t>TIPTUR</t>
  </si>
  <si>
    <t>P T VENKATESH</t>
  </si>
  <si>
    <t>TUMKUR</t>
  </si>
  <si>
    <t>HOLAKERE</t>
  </si>
  <si>
    <t>HOLALKERE</t>
  </si>
  <si>
    <t>KUMAR R</t>
  </si>
  <si>
    <t>HULIYAR</t>
  </si>
  <si>
    <t>NR PURA</t>
  </si>
  <si>
    <t>CHIKKAMAGALURU</t>
  </si>
  <si>
    <t>AJITH KUMAR S A</t>
  </si>
  <si>
    <t>CHINTAMANI</t>
  </si>
  <si>
    <t>CHIKKABALLAPUR</t>
  </si>
  <si>
    <t>MUNIRAJU P V</t>
  </si>
  <si>
    <t>BETHAMANGALA</t>
  </si>
  <si>
    <t>KOLAR</t>
  </si>
  <si>
    <t>SHIVARAJA N</t>
  </si>
  <si>
    <t>PANCHANHALLI</t>
  </si>
  <si>
    <t>KADUR</t>
  </si>
  <si>
    <t>ARUN KUMAR K H</t>
  </si>
  <si>
    <t>SRINIVASPURA</t>
  </si>
  <si>
    <t>MUDIGERE</t>
  </si>
  <si>
    <t>GUBBI</t>
  </si>
  <si>
    <t>SIRA</t>
  </si>
  <si>
    <t>DINESH D</t>
  </si>
  <si>
    <t>DODDABALLAPURA</t>
  </si>
  <si>
    <t xml:space="preserve">BENGALORE -RURAL </t>
  </si>
  <si>
    <t>VINAY V L</t>
  </si>
  <si>
    <t>TARIKERE</t>
  </si>
  <si>
    <t>CHANNAGIRI</t>
  </si>
  <si>
    <t>KUNIGAL</t>
  </si>
  <si>
    <t>MADHUGIRI</t>
  </si>
  <si>
    <t>AJJAMPURA</t>
  </si>
  <si>
    <t>BANGARPET</t>
  </si>
  <si>
    <t>HOSADURGA</t>
  </si>
  <si>
    <t>DEVANAHALLI</t>
  </si>
  <si>
    <t>CHIKBALLAPURA</t>
  </si>
  <si>
    <t>KORATAGERE</t>
  </si>
  <si>
    <t>JAGALORE</t>
  </si>
  <si>
    <t>CHITRADURGA</t>
  </si>
  <si>
    <t>MANOJ NAIK B</t>
  </si>
  <si>
    <t>TUREVEKERE</t>
  </si>
  <si>
    <t>MALUR</t>
  </si>
  <si>
    <t>CHALLAKERE</t>
  </si>
  <si>
    <t>J P NAGAR</t>
  </si>
  <si>
    <t>BENGALORE -URBAN</t>
  </si>
  <si>
    <t>MUBARAK S</t>
  </si>
  <si>
    <t>HEBBAL</t>
  </si>
  <si>
    <t>BAGEPALLI</t>
  </si>
  <si>
    <t>DABUSPET</t>
  </si>
  <si>
    <t>HIRIYUR</t>
  </si>
  <si>
    <t>GOWRIBIDANUR</t>
  </si>
  <si>
    <t>CHANDAPURA</t>
  </si>
  <si>
    <t>KENGERI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</si>
</sst>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 * #,##0_ ;_ * \-#,##0_ ;_ * &quot;-&quot;??_ ;_ @_ 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Bookman Old Style"/>
      <family val="1"/>
    </font>
    <font>
      <sz val="8"/>
      <color theme="1"/>
      <name val="Bookman Old Style"/>
      <family val="1"/>
    </font>
    <font>
      <sz val="9"/>
      <color theme="1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4" fillId="0" borderId="1" xfId="1" applyNumberFormat="1" applyFont="1" applyBorder="1" applyAlignment="1">
      <alignment horizontal="center"/>
    </xf>
    <xf numFmtId="165" fontId="4" fillId="0" borderId="1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43" fontId="5" fillId="0" borderId="1" xfId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8F68-1459-3640-9D5A-62D015F426D5}">
  <dimension ref="A1:AK131"/>
  <sheetViews>
    <sheetView tabSelected="1" workbookViewId="0">
      <selection activeCell="K24" sqref="K24"/>
    </sheetView>
  </sheetViews>
  <sheetFormatPr baseColWidth="10" defaultColWidth="8.83203125" defaultRowHeight="16" x14ac:dyDescent="0.2"/>
  <cols>
    <col min="1" max="1" width="22.1640625" bestFit="1" customWidth="1"/>
    <col min="2" max="2" width="15.1640625" customWidth="1"/>
    <col min="3" max="3" width="25.33203125" customWidth="1"/>
    <col min="4" max="4" width="13.5" bestFit="1" customWidth="1"/>
    <col min="5" max="5" width="8.1640625" bestFit="1" customWidth="1"/>
    <col min="7" max="7" width="7.83203125" bestFit="1" customWidth="1"/>
    <col min="9" max="9" width="10.1640625" bestFit="1" customWidth="1"/>
    <col min="11" max="11" width="7.83203125" bestFit="1" customWidth="1"/>
    <col min="12" max="12" width="12" bestFit="1" customWidth="1"/>
    <col min="13" max="17" width="12" customWidth="1"/>
    <col min="18" max="18" width="9.83203125" customWidth="1"/>
    <col min="19" max="21" width="15.5" customWidth="1"/>
    <col min="22" max="22" width="14.6640625" bestFit="1" customWidth="1"/>
    <col min="23" max="23" width="8.5" customWidth="1"/>
    <col min="24" max="24" width="11.6640625" customWidth="1"/>
    <col min="25" max="25" width="13.5" bestFit="1" customWidth="1"/>
    <col min="26" max="26" width="17.5" customWidth="1"/>
    <col min="27" max="27" width="13.5" customWidth="1"/>
    <col min="28" max="28" width="9.83203125" bestFit="1" customWidth="1"/>
    <col min="29" max="29" width="13.5" bestFit="1" customWidth="1"/>
    <col min="30" max="30" width="14.6640625" customWidth="1"/>
    <col min="31" max="31" width="13.5" customWidth="1"/>
    <col min="32" max="32" width="12" bestFit="1" customWidth="1"/>
    <col min="33" max="33" width="13.5" bestFit="1" customWidth="1"/>
    <col min="35" max="35" width="12" customWidth="1"/>
    <col min="36" max="36" width="11.5" customWidth="1"/>
    <col min="37" max="37" width="8.6640625" customWidth="1"/>
    <col min="38" max="38" width="7.83203125" bestFit="1" customWidth="1"/>
    <col min="39" max="39" width="12" bestFit="1" customWidth="1"/>
    <col min="40" max="40" width="12.83203125" customWidth="1"/>
    <col min="41" max="41" width="14.5" customWidth="1"/>
    <col min="42" max="42" width="14.6640625" bestFit="1" customWidth="1"/>
  </cols>
  <sheetData>
    <row r="1" spans="1:37" x14ac:dyDescent="0.2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3" t="s">
        <v>1</v>
      </c>
      <c r="N1" s="3"/>
      <c r="O1" s="3"/>
      <c r="P1" s="3"/>
      <c r="Q1" s="3"/>
      <c r="R1" s="4" t="s">
        <v>2</v>
      </c>
      <c r="S1" s="4"/>
      <c r="T1" s="4"/>
      <c r="U1" s="4"/>
      <c r="V1" s="4"/>
      <c r="W1" s="4"/>
      <c r="X1" s="5" t="s">
        <v>3</v>
      </c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x14ac:dyDescent="0.2">
      <c r="A2" s="1"/>
      <c r="B2" s="1"/>
      <c r="C2" s="1"/>
      <c r="D2" s="1"/>
      <c r="E2" s="1"/>
      <c r="F2" s="2" t="s">
        <v>4</v>
      </c>
      <c r="G2" s="2"/>
      <c r="H2" s="2" t="s">
        <v>5</v>
      </c>
      <c r="I2" s="2"/>
      <c r="J2" s="2" t="s">
        <v>6</v>
      </c>
      <c r="K2" s="2"/>
      <c r="L2" s="2"/>
      <c r="M2" s="3" t="s">
        <v>5</v>
      </c>
      <c r="N2" s="3"/>
      <c r="O2" s="3" t="s">
        <v>6</v>
      </c>
      <c r="P2" s="3"/>
      <c r="Q2" s="3"/>
      <c r="R2" s="6" t="s">
        <v>7</v>
      </c>
      <c r="S2" s="6"/>
      <c r="T2" s="6"/>
      <c r="U2" s="3" t="s">
        <v>8</v>
      </c>
      <c r="V2" s="3"/>
      <c r="W2" s="3"/>
      <c r="X2" s="7" t="s">
        <v>9</v>
      </c>
      <c r="Y2" s="7"/>
      <c r="Z2" s="3" t="s">
        <v>10</v>
      </c>
      <c r="AA2" s="3"/>
      <c r="AB2" s="5" t="s">
        <v>11</v>
      </c>
      <c r="AC2" s="5"/>
      <c r="AD2" s="3" t="s">
        <v>12</v>
      </c>
      <c r="AE2" s="3"/>
      <c r="AF2" s="7" t="s">
        <v>13</v>
      </c>
      <c r="AG2" s="7"/>
      <c r="AH2" s="7"/>
      <c r="AI2" s="3" t="s">
        <v>14</v>
      </c>
      <c r="AJ2" s="3"/>
      <c r="AK2" s="3"/>
    </row>
    <row r="3" spans="1:37" x14ac:dyDescent="0.2">
      <c r="A3" s="8" t="s">
        <v>15</v>
      </c>
      <c r="B3" s="8" t="s">
        <v>16</v>
      </c>
      <c r="C3" s="8" t="s">
        <v>17</v>
      </c>
      <c r="D3" s="8" t="s">
        <v>18</v>
      </c>
      <c r="E3" s="9" t="s">
        <v>19</v>
      </c>
      <c r="F3" s="10" t="s">
        <v>20</v>
      </c>
      <c r="G3" s="10" t="s">
        <v>21</v>
      </c>
      <c r="H3" s="10" t="s">
        <v>20</v>
      </c>
      <c r="I3" s="10" t="s">
        <v>21</v>
      </c>
      <c r="J3" s="10" t="s">
        <v>20</v>
      </c>
      <c r="K3" s="10" t="s">
        <v>21</v>
      </c>
      <c r="L3" s="10" t="s">
        <v>22</v>
      </c>
      <c r="M3" s="8" t="s">
        <v>20</v>
      </c>
      <c r="N3" s="8" t="s">
        <v>21</v>
      </c>
      <c r="O3" s="8" t="s">
        <v>20</v>
      </c>
      <c r="P3" s="8" t="s">
        <v>21</v>
      </c>
      <c r="Q3" s="8" t="s">
        <v>22</v>
      </c>
      <c r="R3" s="11" t="s">
        <v>23</v>
      </c>
      <c r="S3" s="11" t="s">
        <v>24</v>
      </c>
      <c r="T3" s="11" t="s">
        <v>25</v>
      </c>
      <c r="U3" s="8" t="s">
        <v>24</v>
      </c>
      <c r="V3" s="8" t="s">
        <v>25</v>
      </c>
      <c r="W3" s="8" t="s">
        <v>26</v>
      </c>
      <c r="X3" s="12" t="s">
        <v>23</v>
      </c>
      <c r="Y3" s="12" t="s">
        <v>27</v>
      </c>
      <c r="Z3" s="8" t="s">
        <v>28</v>
      </c>
      <c r="AA3" s="8" t="s">
        <v>26</v>
      </c>
      <c r="AB3" s="13" t="s">
        <v>23</v>
      </c>
      <c r="AC3" s="13" t="s">
        <v>27</v>
      </c>
      <c r="AD3" s="8" t="s">
        <v>28</v>
      </c>
      <c r="AE3" s="8" t="s">
        <v>26</v>
      </c>
      <c r="AF3" s="12" t="s">
        <v>22</v>
      </c>
      <c r="AG3" s="12" t="s">
        <v>29</v>
      </c>
      <c r="AH3" s="12" t="s">
        <v>30</v>
      </c>
      <c r="AI3" s="8" t="s">
        <v>22</v>
      </c>
      <c r="AJ3" s="8" t="s">
        <v>29</v>
      </c>
      <c r="AK3" s="8" t="s">
        <v>30</v>
      </c>
    </row>
    <row r="4" spans="1:37" x14ac:dyDescent="0.2">
      <c r="A4" s="14" t="s">
        <v>31</v>
      </c>
      <c r="B4" s="14" t="s">
        <v>32</v>
      </c>
      <c r="C4" s="14" t="s">
        <v>33</v>
      </c>
      <c r="D4" s="14" t="s">
        <v>34</v>
      </c>
      <c r="E4" s="14">
        <v>5</v>
      </c>
      <c r="F4" s="14"/>
      <c r="G4" s="14"/>
      <c r="H4" s="14"/>
      <c r="I4" s="15">
        <f>H4*55000</f>
        <v>0</v>
      </c>
      <c r="J4" s="15"/>
      <c r="K4" s="15">
        <f>J4*100000</f>
        <v>0</v>
      </c>
      <c r="L4" s="15"/>
      <c r="M4" s="15"/>
      <c r="N4" s="15"/>
      <c r="O4" s="15"/>
      <c r="P4" s="15"/>
      <c r="Q4" s="15"/>
      <c r="R4" s="16">
        <v>100</v>
      </c>
      <c r="S4" s="16">
        <v>10</v>
      </c>
      <c r="T4" s="16">
        <v>5</v>
      </c>
      <c r="U4" s="16">
        <v>8</v>
      </c>
      <c r="V4" s="16">
        <v>2</v>
      </c>
      <c r="W4" s="16">
        <f>R4-V4</f>
        <v>98</v>
      </c>
      <c r="X4" s="1">
        <v>100</v>
      </c>
      <c r="Y4" s="1">
        <v>15</v>
      </c>
      <c r="Z4" s="1">
        <v>10</v>
      </c>
      <c r="AA4" s="1">
        <f>X4-Z4</f>
        <v>90</v>
      </c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">
      <c r="A5" s="14" t="s">
        <v>35</v>
      </c>
      <c r="B5" s="14" t="s">
        <v>32</v>
      </c>
      <c r="C5" s="14" t="s">
        <v>33</v>
      </c>
      <c r="D5" s="14" t="s">
        <v>34</v>
      </c>
      <c r="E5" s="14">
        <v>3</v>
      </c>
      <c r="F5" s="14"/>
      <c r="G5" s="14"/>
      <c r="H5" s="14"/>
      <c r="I5" s="15">
        <f t="shared" ref="I5:I7" si="0">H5*55000</f>
        <v>0</v>
      </c>
      <c r="J5" s="15"/>
      <c r="K5" s="15">
        <f t="shared" ref="K5:K68" si="1">J5*100000</f>
        <v>0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2">
      <c r="A6" s="14" t="s">
        <v>36</v>
      </c>
      <c r="B6" s="14" t="s">
        <v>32</v>
      </c>
      <c r="C6" s="14" t="s">
        <v>33</v>
      </c>
      <c r="D6" s="14" t="s">
        <v>34</v>
      </c>
      <c r="E6" s="14">
        <v>6</v>
      </c>
      <c r="F6" s="14"/>
      <c r="G6" s="14"/>
      <c r="H6" s="14"/>
      <c r="I6" s="15">
        <f t="shared" si="0"/>
        <v>0</v>
      </c>
      <c r="J6" s="15"/>
      <c r="K6" s="15">
        <f t="shared" si="1"/>
        <v>0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">
      <c r="A7" s="14" t="s">
        <v>32</v>
      </c>
      <c r="B7" s="14" t="s">
        <v>32</v>
      </c>
      <c r="C7" s="14" t="s">
        <v>33</v>
      </c>
      <c r="D7" s="14" t="s">
        <v>34</v>
      </c>
      <c r="E7" s="14">
        <v>5</v>
      </c>
      <c r="F7" s="14"/>
      <c r="G7" s="14"/>
      <c r="H7" s="14"/>
      <c r="I7" s="15">
        <f t="shared" si="0"/>
        <v>0</v>
      </c>
      <c r="J7" s="15"/>
      <c r="K7" s="15">
        <f t="shared" si="1"/>
        <v>0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">
      <c r="A8" s="14" t="s">
        <v>37</v>
      </c>
      <c r="B8" s="14" t="s">
        <v>38</v>
      </c>
      <c r="C8" s="14" t="s">
        <v>39</v>
      </c>
      <c r="D8" s="14" t="s">
        <v>40</v>
      </c>
      <c r="E8" s="14">
        <v>9</v>
      </c>
      <c r="F8" s="14"/>
      <c r="G8" s="14">
        <f t="shared" ref="G8:G71" si="2">F8*65000</f>
        <v>0</v>
      </c>
      <c r="H8" s="14"/>
      <c r="I8" s="15">
        <f>H8*68000</f>
        <v>0</v>
      </c>
      <c r="J8" s="15"/>
      <c r="K8" s="15">
        <f t="shared" si="1"/>
        <v>0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">
      <c r="A9" s="14" t="s">
        <v>41</v>
      </c>
      <c r="B9" s="14" t="s">
        <v>41</v>
      </c>
      <c r="C9" s="14" t="s">
        <v>42</v>
      </c>
      <c r="D9" s="14" t="s">
        <v>40</v>
      </c>
      <c r="E9" s="14">
        <v>5</v>
      </c>
      <c r="F9" s="14"/>
      <c r="G9" s="14">
        <f t="shared" si="2"/>
        <v>0</v>
      </c>
      <c r="H9" s="14"/>
      <c r="I9" s="15">
        <f t="shared" ref="I9:I72" si="3">H9*68000</f>
        <v>0</v>
      </c>
      <c r="J9" s="15"/>
      <c r="K9" s="15">
        <f t="shared" si="1"/>
        <v>0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2">
      <c r="A10" s="14" t="s">
        <v>43</v>
      </c>
      <c r="B10" s="14" t="s">
        <v>38</v>
      </c>
      <c r="C10" s="14" t="s">
        <v>39</v>
      </c>
      <c r="D10" s="14" t="s">
        <v>40</v>
      </c>
      <c r="E10" s="14">
        <v>8</v>
      </c>
      <c r="F10" s="14"/>
      <c r="G10" s="14">
        <f t="shared" si="2"/>
        <v>0</v>
      </c>
      <c r="H10" s="14"/>
      <c r="I10" s="15">
        <f t="shared" si="3"/>
        <v>0</v>
      </c>
      <c r="J10" s="15"/>
      <c r="K10" s="15">
        <f t="shared" si="1"/>
        <v>0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">
      <c r="A11" s="14" t="s">
        <v>44</v>
      </c>
      <c r="B11" s="14" t="s">
        <v>45</v>
      </c>
      <c r="C11" s="14" t="s">
        <v>46</v>
      </c>
      <c r="D11" s="14" t="s">
        <v>40</v>
      </c>
      <c r="E11" s="14">
        <v>7</v>
      </c>
      <c r="F11" s="14"/>
      <c r="G11" s="14">
        <f t="shared" si="2"/>
        <v>0</v>
      </c>
      <c r="H11" s="14"/>
      <c r="I11" s="15">
        <f t="shared" si="3"/>
        <v>0</v>
      </c>
      <c r="J11" s="15"/>
      <c r="K11" s="15">
        <f t="shared" si="1"/>
        <v>0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2">
      <c r="A12" s="14" t="s">
        <v>47</v>
      </c>
      <c r="B12" s="14" t="s">
        <v>47</v>
      </c>
      <c r="C12" s="14" t="s">
        <v>48</v>
      </c>
      <c r="D12" s="14" t="s">
        <v>40</v>
      </c>
      <c r="E12" s="14">
        <v>8</v>
      </c>
      <c r="F12" s="14"/>
      <c r="G12" s="14">
        <f t="shared" si="2"/>
        <v>0</v>
      </c>
      <c r="H12" s="14"/>
      <c r="I12" s="15">
        <f t="shared" si="3"/>
        <v>0</v>
      </c>
      <c r="J12" s="15"/>
      <c r="K12" s="15">
        <f t="shared" si="1"/>
        <v>0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2">
      <c r="A13" s="14" t="s">
        <v>49</v>
      </c>
      <c r="B13" s="14" t="s">
        <v>49</v>
      </c>
      <c r="C13" s="14" t="s">
        <v>50</v>
      </c>
      <c r="D13" s="14" t="s">
        <v>40</v>
      </c>
      <c r="E13" s="14">
        <v>8</v>
      </c>
      <c r="F13" s="14"/>
      <c r="G13" s="14">
        <f t="shared" si="2"/>
        <v>0</v>
      </c>
      <c r="H13" s="14"/>
      <c r="I13" s="15">
        <f t="shared" si="3"/>
        <v>0</v>
      </c>
      <c r="J13" s="15"/>
      <c r="K13" s="15">
        <f t="shared" si="1"/>
        <v>0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">
      <c r="A14" s="14" t="s">
        <v>51</v>
      </c>
      <c r="B14" s="14" t="s">
        <v>41</v>
      </c>
      <c r="C14" s="14" t="s">
        <v>42</v>
      </c>
      <c r="D14" s="14" t="s">
        <v>40</v>
      </c>
      <c r="E14" s="14">
        <v>6</v>
      </c>
      <c r="F14" s="14"/>
      <c r="G14" s="14">
        <f t="shared" si="2"/>
        <v>0</v>
      </c>
      <c r="H14" s="14"/>
      <c r="I14" s="15">
        <f t="shared" si="3"/>
        <v>0</v>
      </c>
      <c r="J14" s="15"/>
      <c r="K14" s="15">
        <f t="shared" si="1"/>
        <v>0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">
      <c r="A15" s="14" t="s">
        <v>52</v>
      </c>
      <c r="B15" s="14" t="s">
        <v>47</v>
      </c>
      <c r="C15" s="14" t="s">
        <v>48</v>
      </c>
      <c r="D15" s="14" t="s">
        <v>40</v>
      </c>
      <c r="E15" s="14">
        <v>6</v>
      </c>
      <c r="F15" s="14"/>
      <c r="G15" s="14">
        <f t="shared" si="2"/>
        <v>0</v>
      </c>
      <c r="H15" s="14"/>
      <c r="I15" s="15">
        <f t="shared" si="3"/>
        <v>0</v>
      </c>
      <c r="J15" s="15"/>
      <c r="K15" s="15">
        <f t="shared" si="1"/>
        <v>0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">
      <c r="A16" s="14" t="s">
        <v>45</v>
      </c>
      <c r="B16" s="14" t="s">
        <v>45</v>
      </c>
      <c r="C16" s="14" t="s">
        <v>46</v>
      </c>
      <c r="D16" s="14" t="s">
        <v>40</v>
      </c>
      <c r="E16" s="14">
        <v>7</v>
      </c>
      <c r="F16" s="14"/>
      <c r="G16" s="14">
        <f t="shared" si="2"/>
        <v>0</v>
      </c>
      <c r="H16" s="14"/>
      <c r="I16" s="15">
        <f t="shared" si="3"/>
        <v>0</v>
      </c>
      <c r="J16" s="15"/>
      <c r="K16" s="15">
        <f t="shared" si="1"/>
        <v>0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">
      <c r="A17" s="17" t="s">
        <v>53</v>
      </c>
      <c r="B17" s="14" t="s">
        <v>54</v>
      </c>
      <c r="C17" s="14" t="s">
        <v>55</v>
      </c>
      <c r="D17" s="14" t="s">
        <v>40</v>
      </c>
      <c r="E17" s="14">
        <v>6</v>
      </c>
      <c r="F17" s="14"/>
      <c r="G17" s="14">
        <f t="shared" si="2"/>
        <v>0</v>
      </c>
      <c r="H17" s="14"/>
      <c r="I17" s="15">
        <f t="shared" si="3"/>
        <v>0</v>
      </c>
      <c r="J17" s="15"/>
      <c r="K17" s="15">
        <f t="shared" si="1"/>
        <v>0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">
      <c r="A18" s="14" t="s">
        <v>56</v>
      </c>
      <c r="B18" s="14" t="s">
        <v>54</v>
      </c>
      <c r="C18" s="14" t="s">
        <v>55</v>
      </c>
      <c r="D18" s="14" t="s">
        <v>40</v>
      </c>
      <c r="E18" s="14">
        <v>5</v>
      </c>
      <c r="F18" s="14"/>
      <c r="G18" s="14">
        <f t="shared" si="2"/>
        <v>0</v>
      </c>
      <c r="H18" s="14"/>
      <c r="I18" s="15">
        <f t="shared" si="3"/>
        <v>0</v>
      </c>
      <c r="J18" s="15"/>
      <c r="K18" s="15">
        <f t="shared" si="1"/>
        <v>0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">
      <c r="A19" s="14" t="s">
        <v>57</v>
      </c>
      <c r="B19" s="14" t="s">
        <v>58</v>
      </c>
      <c r="C19" s="14" t="s">
        <v>59</v>
      </c>
      <c r="D19" s="14" t="s">
        <v>40</v>
      </c>
      <c r="E19" s="14">
        <v>6</v>
      </c>
      <c r="F19" s="14"/>
      <c r="G19" s="14">
        <f t="shared" si="2"/>
        <v>0</v>
      </c>
      <c r="H19" s="14"/>
      <c r="I19" s="15">
        <f t="shared" si="3"/>
        <v>0</v>
      </c>
      <c r="J19" s="15"/>
      <c r="K19" s="15">
        <f t="shared" si="1"/>
        <v>0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">
      <c r="A20" s="14" t="s">
        <v>60</v>
      </c>
      <c r="B20" s="14" t="s">
        <v>47</v>
      </c>
      <c r="C20" s="14" t="s">
        <v>48</v>
      </c>
      <c r="D20" s="14" t="s">
        <v>40</v>
      </c>
      <c r="E20" s="14">
        <v>7</v>
      </c>
      <c r="F20" s="14"/>
      <c r="G20" s="14">
        <f t="shared" si="2"/>
        <v>0</v>
      </c>
      <c r="H20" s="14"/>
      <c r="I20" s="15">
        <f t="shared" si="3"/>
        <v>0</v>
      </c>
      <c r="J20" s="15"/>
      <c r="K20" s="15">
        <f t="shared" si="1"/>
        <v>0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">
      <c r="A21" s="18" t="s">
        <v>61</v>
      </c>
      <c r="B21" s="14" t="s">
        <v>62</v>
      </c>
      <c r="C21" s="14" t="s">
        <v>63</v>
      </c>
      <c r="D21" s="14" t="s">
        <v>40</v>
      </c>
      <c r="E21" s="14">
        <v>8</v>
      </c>
      <c r="F21" s="14"/>
      <c r="G21" s="14">
        <f t="shared" si="2"/>
        <v>0</v>
      </c>
      <c r="H21" s="14"/>
      <c r="I21" s="15">
        <f t="shared" si="3"/>
        <v>0</v>
      </c>
      <c r="J21" s="15"/>
      <c r="K21" s="15">
        <f t="shared" si="1"/>
        <v>0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">
      <c r="A22" s="14" t="s">
        <v>64</v>
      </c>
      <c r="B22" s="14" t="s">
        <v>45</v>
      </c>
      <c r="C22" s="14" t="s">
        <v>46</v>
      </c>
      <c r="D22" s="14" t="s">
        <v>40</v>
      </c>
      <c r="E22" s="14">
        <v>7</v>
      </c>
      <c r="F22" s="14"/>
      <c r="G22" s="14">
        <f t="shared" si="2"/>
        <v>0</v>
      </c>
      <c r="H22" s="14"/>
      <c r="I22" s="15">
        <f t="shared" si="3"/>
        <v>0</v>
      </c>
      <c r="J22" s="15"/>
      <c r="K22" s="15">
        <f t="shared" si="1"/>
        <v>0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">
      <c r="A23" s="14" t="s">
        <v>65</v>
      </c>
      <c r="B23" s="14" t="s">
        <v>41</v>
      </c>
      <c r="C23" s="14" t="s">
        <v>42</v>
      </c>
      <c r="D23" s="14" t="s">
        <v>40</v>
      </c>
      <c r="E23" s="14">
        <v>6</v>
      </c>
      <c r="F23" s="14"/>
      <c r="G23" s="14">
        <f t="shared" si="2"/>
        <v>0</v>
      </c>
      <c r="H23" s="14"/>
      <c r="I23" s="15">
        <f t="shared" si="3"/>
        <v>0</v>
      </c>
      <c r="J23" s="15"/>
      <c r="K23" s="15">
        <f t="shared" si="1"/>
        <v>0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">
      <c r="A24" s="14" t="s">
        <v>66</v>
      </c>
      <c r="B24" s="14" t="s">
        <v>62</v>
      </c>
      <c r="C24" s="14" t="s">
        <v>63</v>
      </c>
      <c r="D24" s="14" t="s">
        <v>40</v>
      </c>
      <c r="E24" s="14">
        <v>5</v>
      </c>
      <c r="F24" s="14"/>
      <c r="G24" s="14">
        <f t="shared" si="2"/>
        <v>0</v>
      </c>
      <c r="H24" s="14"/>
      <c r="I24" s="15">
        <f t="shared" si="3"/>
        <v>0</v>
      </c>
      <c r="J24" s="15"/>
      <c r="K24" s="15">
        <f t="shared" si="1"/>
        <v>0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">
      <c r="A25" s="14" t="s">
        <v>62</v>
      </c>
      <c r="B25" s="14" t="s">
        <v>62</v>
      </c>
      <c r="C25" s="14" t="s">
        <v>63</v>
      </c>
      <c r="D25" s="14" t="s">
        <v>40</v>
      </c>
      <c r="E25" s="14">
        <v>6</v>
      </c>
      <c r="F25" s="14"/>
      <c r="G25" s="14">
        <f t="shared" si="2"/>
        <v>0</v>
      </c>
      <c r="H25" s="14"/>
      <c r="I25" s="15">
        <f t="shared" si="3"/>
        <v>0</v>
      </c>
      <c r="J25" s="15"/>
      <c r="K25" s="15">
        <f t="shared" si="1"/>
        <v>0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">
      <c r="A26" s="14" t="s">
        <v>67</v>
      </c>
      <c r="B26" s="14" t="s">
        <v>38</v>
      </c>
      <c r="C26" s="14" t="s">
        <v>39</v>
      </c>
      <c r="D26" s="14" t="s">
        <v>40</v>
      </c>
      <c r="E26" s="14">
        <v>6</v>
      </c>
      <c r="F26" s="14"/>
      <c r="G26" s="14">
        <f t="shared" si="2"/>
        <v>0</v>
      </c>
      <c r="H26" s="14"/>
      <c r="I26" s="15">
        <f t="shared" si="3"/>
        <v>0</v>
      </c>
      <c r="J26" s="15"/>
      <c r="K26" s="15">
        <f t="shared" si="1"/>
        <v>0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">
      <c r="A27" s="14" t="s">
        <v>38</v>
      </c>
      <c r="B27" s="14" t="s">
        <v>38</v>
      </c>
      <c r="C27" s="14" t="s">
        <v>39</v>
      </c>
      <c r="D27" s="14" t="s">
        <v>40</v>
      </c>
      <c r="E27" s="14">
        <v>7</v>
      </c>
      <c r="F27" s="14"/>
      <c r="G27" s="14">
        <f t="shared" si="2"/>
        <v>0</v>
      </c>
      <c r="H27" s="14"/>
      <c r="I27" s="15">
        <f t="shared" si="3"/>
        <v>0</v>
      </c>
      <c r="J27" s="15"/>
      <c r="K27" s="15">
        <f t="shared" si="1"/>
        <v>0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">
      <c r="A28" s="17" t="s">
        <v>68</v>
      </c>
      <c r="B28" s="14" t="s">
        <v>41</v>
      </c>
      <c r="C28" s="14" t="s">
        <v>42</v>
      </c>
      <c r="D28" s="14" t="s">
        <v>40</v>
      </c>
      <c r="E28" s="14">
        <v>6</v>
      </c>
      <c r="F28" s="14"/>
      <c r="G28" s="14">
        <f t="shared" si="2"/>
        <v>0</v>
      </c>
      <c r="H28" s="14"/>
      <c r="I28" s="15">
        <f t="shared" si="3"/>
        <v>0</v>
      </c>
      <c r="J28" s="15"/>
      <c r="K28" s="15">
        <f t="shared" si="1"/>
        <v>0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">
      <c r="A29" s="14" t="s">
        <v>69</v>
      </c>
      <c r="B29" s="14" t="s">
        <v>54</v>
      </c>
      <c r="C29" s="14" t="s">
        <v>55</v>
      </c>
      <c r="D29" s="14" t="s">
        <v>40</v>
      </c>
      <c r="E29" s="14">
        <v>5</v>
      </c>
      <c r="F29" s="14"/>
      <c r="G29" s="14">
        <f t="shared" si="2"/>
        <v>0</v>
      </c>
      <c r="H29" s="14"/>
      <c r="I29" s="15">
        <f t="shared" si="3"/>
        <v>0</v>
      </c>
      <c r="J29" s="15"/>
      <c r="K29" s="15">
        <f t="shared" si="1"/>
        <v>0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">
      <c r="A30" s="14" t="s">
        <v>70</v>
      </c>
      <c r="B30" s="14" t="s">
        <v>58</v>
      </c>
      <c r="C30" s="14" t="s">
        <v>59</v>
      </c>
      <c r="D30" s="14" t="s">
        <v>40</v>
      </c>
      <c r="E30" s="14">
        <v>4</v>
      </c>
      <c r="F30" s="14"/>
      <c r="G30" s="14">
        <f t="shared" si="2"/>
        <v>0</v>
      </c>
      <c r="H30" s="14"/>
      <c r="I30" s="15">
        <f t="shared" si="3"/>
        <v>0</v>
      </c>
      <c r="J30" s="15"/>
      <c r="K30" s="15">
        <f t="shared" si="1"/>
        <v>0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">
      <c r="A31" s="14" t="s">
        <v>71</v>
      </c>
      <c r="B31" s="14" t="s">
        <v>49</v>
      </c>
      <c r="C31" s="14" t="s">
        <v>50</v>
      </c>
      <c r="D31" s="14" t="s">
        <v>40</v>
      </c>
      <c r="E31" s="14">
        <v>7</v>
      </c>
      <c r="F31" s="14"/>
      <c r="G31" s="14">
        <f t="shared" si="2"/>
        <v>0</v>
      </c>
      <c r="H31" s="14"/>
      <c r="I31" s="15">
        <f t="shared" si="3"/>
        <v>0</v>
      </c>
      <c r="J31" s="15"/>
      <c r="K31" s="15">
        <f t="shared" si="1"/>
        <v>0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">
      <c r="A32" s="14" t="s">
        <v>72</v>
      </c>
      <c r="B32" s="14" t="s">
        <v>45</v>
      </c>
      <c r="C32" s="14" t="s">
        <v>46</v>
      </c>
      <c r="D32" s="14" t="s">
        <v>40</v>
      </c>
      <c r="E32" s="14">
        <v>8</v>
      </c>
      <c r="F32" s="14"/>
      <c r="G32" s="14">
        <f t="shared" si="2"/>
        <v>0</v>
      </c>
      <c r="H32" s="14"/>
      <c r="I32" s="15">
        <f t="shared" si="3"/>
        <v>0</v>
      </c>
      <c r="J32" s="15"/>
      <c r="K32" s="15">
        <f t="shared" si="1"/>
        <v>0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2">
      <c r="A33" s="14" t="s">
        <v>73</v>
      </c>
      <c r="B33" s="14" t="s">
        <v>73</v>
      </c>
      <c r="C33" s="14" t="s">
        <v>74</v>
      </c>
      <c r="D33" s="14" t="s">
        <v>40</v>
      </c>
      <c r="E33" s="14">
        <v>9</v>
      </c>
      <c r="F33" s="14"/>
      <c r="G33" s="14">
        <f t="shared" si="2"/>
        <v>0</v>
      </c>
      <c r="H33" s="14"/>
      <c r="I33" s="15">
        <f t="shared" si="3"/>
        <v>0</v>
      </c>
      <c r="J33" s="15"/>
      <c r="K33" s="15">
        <f t="shared" si="1"/>
        <v>0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">
      <c r="A34" s="14" t="s">
        <v>75</v>
      </c>
      <c r="B34" s="14" t="s">
        <v>49</v>
      </c>
      <c r="C34" s="14" t="s">
        <v>50</v>
      </c>
      <c r="D34" s="14" t="s">
        <v>40</v>
      </c>
      <c r="E34" s="14">
        <v>7</v>
      </c>
      <c r="F34" s="14"/>
      <c r="G34" s="14">
        <f t="shared" si="2"/>
        <v>0</v>
      </c>
      <c r="H34" s="14"/>
      <c r="I34" s="15">
        <f t="shared" si="3"/>
        <v>0</v>
      </c>
      <c r="J34" s="15"/>
      <c r="K34" s="15">
        <f t="shared" si="1"/>
        <v>0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2">
      <c r="A35" s="14" t="s">
        <v>76</v>
      </c>
      <c r="B35" s="14" t="s">
        <v>49</v>
      </c>
      <c r="C35" s="14" t="s">
        <v>50</v>
      </c>
      <c r="D35" s="14" t="s">
        <v>40</v>
      </c>
      <c r="E35" s="14">
        <v>8</v>
      </c>
      <c r="F35" s="14"/>
      <c r="G35" s="14">
        <f t="shared" si="2"/>
        <v>0</v>
      </c>
      <c r="H35" s="14"/>
      <c r="I35" s="15">
        <f t="shared" si="3"/>
        <v>0</v>
      </c>
      <c r="J35" s="15"/>
      <c r="K35" s="15">
        <f t="shared" si="1"/>
        <v>0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2">
      <c r="A36" s="14" t="s">
        <v>77</v>
      </c>
      <c r="B36" s="14" t="s">
        <v>38</v>
      </c>
      <c r="C36" s="14" t="s">
        <v>39</v>
      </c>
      <c r="D36" s="14" t="s">
        <v>40</v>
      </c>
      <c r="E36" s="14">
        <v>7</v>
      </c>
      <c r="F36" s="14"/>
      <c r="G36" s="14">
        <f t="shared" si="2"/>
        <v>0</v>
      </c>
      <c r="H36" s="14"/>
      <c r="I36" s="15">
        <f t="shared" si="3"/>
        <v>0</v>
      </c>
      <c r="J36" s="15"/>
      <c r="K36" s="15">
        <f t="shared" si="1"/>
        <v>0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2">
      <c r="A37" s="14" t="s">
        <v>78</v>
      </c>
      <c r="B37" s="14" t="s">
        <v>58</v>
      </c>
      <c r="C37" s="14" t="s">
        <v>59</v>
      </c>
      <c r="D37" s="14" t="s">
        <v>40</v>
      </c>
      <c r="E37" s="14">
        <v>4</v>
      </c>
      <c r="F37" s="14"/>
      <c r="G37" s="14">
        <f t="shared" si="2"/>
        <v>0</v>
      </c>
      <c r="H37" s="14"/>
      <c r="I37" s="15">
        <f t="shared" si="3"/>
        <v>0</v>
      </c>
      <c r="J37" s="15"/>
      <c r="K37" s="15">
        <f t="shared" si="1"/>
        <v>0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2">
      <c r="A38" s="14" t="s">
        <v>54</v>
      </c>
      <c r="B38" s="14" t="s">
        <v>54</v>
      </c>
      <c r="C38" s="14" t="s">
        <v>55</v>
      </c>
      <c r="D38" s="14" t="s">
        <v>40</v>
      </c>
      <c r="E38" s="14">
        <v>6</v>
      </c>
      <c r="F38" s="14"/>
      <c r="G38" s="14">
        <f t="shared" si="2"/>
        <v>0</v>
      </c>
      <c r="H38" s="14"/>
      <c r="I38" s="15">
        <f t="shared" si="3"/>
        <v>0</v>
      </c>
      <c r="J38" s="15"/>
      <c r="K38" s="15">
        <f t="shared" si="1"/>
        <v>0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2">
      <c r="A39" s="17" t="s">
        <v>79</v>
      </c>
      <c r="B39" s="14" t="s">
        <v>73</v>
      </c>
      <c r="C39" s="14" t="s">
        <v>74</v>
      </c>
      <c r="D39" s="14" t="s">
        <v>40</v>
      </c>
      <c r="E39" s="14">
        <v>7</v>
      </c>
      <c r="F39" s="14"/>
      <c r="G39" s="14">
        <f t="shared" si="2"/>
        <v>0</v>
      </c>
      <c r="H39" s="14"/>
      <c r="I39" s="15">
        <f t="shared" si="3"/>
        <v>0</v>
      </c>
      <c r="J39" s="15"/>
      <c r="K39" s="15">
        <f t="shared" si="1"/>
        <v>0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2">
      <c r="A40" s="17" t="s">
        <v>80</v>
      </c>
      <c r="B40" s="14" t="s">
        <v>62</v>
      </c>
      <c r="C40" s="14" t="s">
        <v>63</v>
      </c>
      <c r="D40" s="14" t="s">
        <v>40</v>
      </c>
      <c r="E40" s="14">
        <v>4</v>
      </c>
      <c r="F40" s="14"/>
      <c r="G40" s="14">
        <f t="shared" si="2"/>
        <v>0</v>
      </c>
      <c r="H40" s="14"/>
      <c r="I40" s="15">
        <f t="shared" si="3"/>
        <v>0</v>
      </c>
      <c r="J40" s="15"/>
      <c r="K40" s="15">
        <f t="shared" si="1"/>
        <v>0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2">
      <c r="A41" s="14" t="s">
        <v>81</v>
      </c>
      <c r="B41" s="14" t="s">
        <v>73</v>
      </c>
      <c r="C41" s="14" t="s">
        <v>74</v>
      </c>
      <c r="D41" s="14" t="s">
        <v>40</v>
      </c>
      <c r="E41" s="14">
        <v>3</v>
      </c>
      <c r="F41" s="14"/>
      <c r="G41" s="14">
        <f t="shared" si="2"/>
        <v>0</v>
      </c>
      <c r="H41" s="14"/>
      <c r="I41" s="15">
        <f t="shared" si="3"/>
        <v>0</v>
      </c>
      <c r="J41" s="15"/>
      <c r="K41" s="15">
        <f t="shared" si="1"/>
        <v>0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2">
      <c r="A42" s="14" t="s">
        <v>82</v>
      </c>
      <c r="B42" s="14" t="s">
        <v>73</v>
      </c>
      <c r="C42" s="14" t="s">
        <v>74</v>
      </c>
      <c r="D42" s="14" t="s">
        <v>40</v>
      </c>
      <c r="E42" s="14">
        <v>5</v>
      </c>
      <c r="F42" s="14"/>
      <c r="G42" s="14">
        <f t="shared" si="2"/>
        <v>0</v>
      </c>
      <c r="H42" s="14"/>
      <c r="I42" s="15">
        <f t="shared" si="3"/>
        <v>0</v>
      </c>
      <c r="J42" s="15"/>
      <c r="K42" s="15">
        <f t="shared" si="1"/>
        <v>0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2">
      <c r="A43" s="14" t="s">
        <v>83</v>
      </c>
      <c r="B43" s="14" t="s">
        <v>84</v>
      </c>
      <c r="C43" s="14" t="s">
        <v>85</v>
      </c>
      <c r="D43" s="14" t="s">
        <v>86</v>
      </c>
      <c r="E43" s="14">
        <v>3</v>
      </c>
      <c r="F43" s="14"/>
      <c r="G43" s="14">
        <f t="shared" si="2"/>
        <v>0</v>
      </c>
      <c r="H43" s="14"/>
      <c r="I43" s="15">
        <f t="shared" si="3"/>
        <v>0</v>
      </c>
      <c r="J43" s="15"/>
      <c r="K43" s="15">
        <f t="shared" si="1"/>
        <v>0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2">
      <c r="A44" s="14" t="s">
        <v>87</v>
      </c>
      <c r="B44" s="14" t="s">
        <v>88</v>
      </c>
      <c r="C44" s="14" t="s">
        <v>89</v>
      </c>
      <c r="D44" s="14" t="s">
        <v>86</v>
      </c>
      <c r="E44" s="14">
        <v>5</v>
      </c>
      <c r="F44" s="14"/>
      <c r="G44" s="14">
        <f t="shared" si="2"/>
        <v>0</v>
      </c>
      <c r="H44" s="14"/>
      <c r="I44" s="15">
        <f t="shared" si="3"/>
        <v>0</v>
      </c>
      <c r="J44" s="15"/>
      <c r="K44" s="15">
        <f t="shared" si="1"/>
        <v>0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2">
      <c r="A45" s="14" t="s">
        <v>90</v>
      </c>
      <c r="B45" s="14" t="s">
        <v>84</v>
      </c>
      <c r="C45" s="14" t="s">
        <v>85</v>
      </c>
      <c r="D45" s="14" t="s">
        <v>86</v>
      </c>
      <c r="E45" s="14">
        <v>5</v>
      </c>
      <c r="F45" s="14"/>
      <c r="G45" s="14">
        <f t="shared" si="2"/>
        <v>0</v>
      </c>
      <c r="H45" s="14"/>
      <c r="I45" s="15">
        <f t="shared" si="3"/>
        <v>0</v>
      </c>
      <c r="J45" s="15"/>
      <c r="K45" s="15">
        <f t="shared" si="1"/>
        <v>0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2">
      <c r="A46" s="14" t="s">
        <v>91</v>
      </c>
      <c r="B46" s="14" t="s">
        <v>84</v>
      </c>
      <c r="C46" s="14" t="s">
        <v>85</v>
      </c>
      <c r="D46" s="14" t="s">
        <v>86</v>
      </c>
      <c r="E46" s="14">
        <v>6</v>
      </c>
      <c r="F46" s="14"/>
      <c r="G46" s="14">
        <f t="shared" si="2"/>
        <v>0</v>
      </c>
      <c r="H46" s="14"/>
      <c r="I46" s="15">
        <f t="shared" si="3"/>
        <v>0</v>
      </c>
      <c r="J46" s="15"/>
      <c r="K46" s="15">
        <f t="shared" si="1"/>
        <v>0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2">
      <c r="A47" s="14" t="s">
        <v>92</v>
      </c>
      <c r="B47" s="14" t="s">
        <v>93</v>
      </c>
      <c r="C47" s="14" t="s">
        <v>94</v>
      </c>
      <c r="D47" s="14" t="s">
        <v>86</v>
      </c>
      <c r="E47" s="14">
        <v>3</v>
      </c>
      <c r="F47" s="14"/>
      <c r="G47" s="14">
        <f t="shared" si="2"/>
        <v>0</v>
      </c>
      <c r="H47" s="14"/>
      <c r="I47" s="15">
        <f t="shared" si="3"/>
        <v>0</v>
      </c>
      <c r="J47" s="15"/>
      <c r="K47" s="15">
        <f t="shared" si="1"/>
        <v>0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2">
      <c r="A48" s="14" t="s">
        <v>95</v>
      </c>
      <c r="B48" s="14" t="s">
        <v>95</v>
      </c>
      <c r="C48" s="14" t="s">
        <v>96</v>
      </c>
      <c r="D48" s="14" t="s">
        <v>86</v>
      </c>
      <c r="E48" s="14">
        <v>6</v>
      </c>
      <c r="F48" s="14"/>
      <c r="G48" s="14">
        <f t="shared" si="2"/>
        <v>0</v>
      </c>
      <c r="H48" s="14"/>
      <c r="I48" s="15">
        <f t="shared" si="3"/>
        <v>0</v>
      </c>
      <c r="J48" s="15"/>
      <c r="K48" s="15">
        <f t="shared" si="1"/>
        <v>0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x14ac:dyDescent="0.2">
      <c r="A49" s="14" t="s">
        <v>88</v>
      </c>
      <c r="B49" s="14" t="s">
        <v>88</v>
      </c>
      <c r="C49" s="14" t="s">
        <v>89</v>
      </c>
      <c r="D49" s="14" t="s">
        <v>86</v>
      </c>
      <c r="E49" s="14">
        <v>6</v>
      </c>
      <c r="F49" s="14"/>
      <c r="G49" s="14">
        <f t="shared" si="2"/>
        <v>0</v>
      </c>
      <c r="H49" s="14"/>
      <c r="I49" s="15">
        <f t="shared" si="3"/>
        <v>0</v>
      </c>
      <c r="J49" s="15"/>
      <c r="K49" s="15">
        <f t="shared" si="1"/>
        <v>0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x14ac:dyDescent="0.2">
      <c r="A50" s="14" t="s">
        <v>97</v>
      </c>
      <c r="B50" s="14" t="s">
        <v>98</v>
      </c>
      <c r="C50" s="14" t="s">
        <v>99</v>
      </c>
      <c r="D50" s="14" t="s">
        <v>86</v>
      </c>
      <c r="E50" s="14">
        <v>6</v>
      </c>
      <c r="F50" s="14"/>
      <c r="G50" s="14">
        <f t="shared" si="2"/>
        <v>0</v>
      </c>
      <c r="H50" s="14"/>
      <c r="I50" s="15">
        <f t="shared" si="3"/>
        <v>0</v>
      </c>
      <c r="J50" s="15"/>
      <c r="K50" s="15">
        <f t="shared" si="1"/>
        <v>0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x14ac:dyDescent="0.2">
      <c r="A51" s="14" t="s">
        <v>100</v>
      </c>
      <c r="B51" s="14" t="s">
        <v>101</v>
      </c>
      <c r="C51" s="14" t="s">
        <v>102</v>
      </c>
      <c r="D51" s="14" t="s">
        <v>86</v>
      </c>
      <c r="E51" s="14">
        <v>8</v>
      </c>
      <c r="F51" s="14"/>
      <c r="G51" s="14">
        <f t="shared" si="2"/>
        <v>0</v>
      </c>
      <c r="H51" s="14"/>
      <c r="I51" s="15">
        <f t="shared" si="3"/>
        <v>0</v>
      </c>
      <c r="J51" s="15"/>
      <c r="K51" s="15">
        <f t="shared" si="1"/>
        <v>0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x14ac:dyDescent="0.2">
      <c r="A52" s="14" t="s">
        <v>103</v>
      </c>
      <c r="B52" s="14" t="s">
        <v>101</v>
      </c>
      <c r="C52" s="14" t="s">
        <v>102</v>
      </c>
      <c r="D52" s="14" t="s">
        <v>86</v>
      </c>
      <c r="E52" s="14">
        <v>4</v>
      </c>
      <c r="F52" s="14"/>
      <c r="G52" s="14">
        <f t="shared" si="2"/>
        <v>0</v>
      </c>
      <c r="H52" s="14"/>
      <c r="I52" s="15">
        <f t="shared" si="3"/>
        <v>0</v>
      </c>
      <c r="J52" s="15"/>
      <c r="K52" s="15">
        <f t="shared" si="1"/>
        <v>0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x14ac:dyDescent="0.2">
      <c r="A53" s="14" t="s">
        <v>104</v>
      </c>
      <c r="B53" s="14" t="s">
        <v>88</v>
      </c>
      <c r="C53" s="14" t="s">
        <v>89</v>
      </c>
      <c r="D53" s="14" t="s">
        <v>86</v>
      </c>
      <c r="E53" s="14">
        <v>4</v>
      </c>
      <c r="F53" s="14"/>
      <c r="G53" s="14">
        <f t="shared" si="2"/>
        <v>0</v>
      </c>
      <c r="H53" s="14"/>
      <c r="I53" s="15">
        <f t="shared" si="3"/>
        <v>0</v>
      </c>
      <c r="J53" s="15"/>
      <c r="K53" s="15">
        <f t="shared" si="1"/>
        <v>0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x14ac:dyDescent="0.2">
      <c r="A54" s="14" t="s">
        <v>105</v>
      </c>
      <c r="B54" s="14" t="s">
        <v>84</v>
      </c>
      <c r="C54" s="14" t="s">
        <v>85</v>
      </c>
      <c r="D54" s="14" t="s">
        <v>86</v>
      </c>
      <c r="E54" s="14">
        <v>6</v>
      </c>
      <c r="F54" s="14"/>
      <c r="G54" s="14">
        <f t="shared" si="2"/>
        <v>0</v>
      </c>
      <c r="H54" s="14"/>
      <c r="I54" s="15">
        <f t="shared" si="3"/>
        <v>0</v>
      </c>
      <c r="J54" s="15"/>
      <c r="K54" s="15">
        <f t="shared" si="1"/>
        <v>0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x14ac:dyDescent="0.2">
      <c r="A55" s="14" t="s">
        <v>106</v>
      </c>
      <c r="B55" s="14" t="s">
        <v>95</v>
      </c>
      <c r="C55" s="14" t="s">
        <v>96</v>
      </c>
      <c r="D55" s="14" t="s">
        <v>86</v>
      </c>
      <c r="E55" s="14">
        <v>3</v>
      </c>
      <c r="F55" s="14"/>
      <c r="G55" s="14">
        <f t="shared" si="2"/>
        <v>0</v>
      </c>
      <c r="H55" s="14"/>
      <c r="I55" s="15">
        <f t="shared" si="3"/>
        <v>0</v>
      </c>
      <c r="J55" s="15"/>
      <c r="K55" s="15">
        <f t="shared" si="1"/>
        <v>0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x14ac:dyDescent="0.2">
      <c r="A56" s="14" t="s">
        <v>107</v>
      </c>
      <c r="B56" s="14" t="s">
        <v>108</v>
      </c>
      <c r="C56" s="14" t="s">
        <v>109</v>
      </c>
      <c r="D56" s="14" t="s">
        <v>86</v>
      </c>
      <c r="E56" s="14">
        <v>5</v>
      </c>
      <c r="F56" s="14"/>
      <c r="G56" s="14">
        <f t="shared" si="2"/>
        <v>0</v>
      </c>
      <c r="H56" s="14"/>
      <c r="I56" s="15">
        <f t="shared" si="3"/>
        <v>0</v>
      </c>
      <c r="J56" s="15"/>
      <c r="K56" s="15">
        <f t="shared" si="1"/>
        <v>0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2">
      <c r="A57" s="14" t="s">
        <v>110</v>
      </c>
      <c r="B57" s="14" t="s">
        <v>88</v>
      </c>
      <c r="C57" s="14" t="s">
        <v>89</v>
      </c>
      <c r="D57" s="14" t="s">
        <v>86</v>
      </c>
      <c r="E57" s="14">
        <v>7</v>
      </c>
      <c r="F57" s="14"/>
      <c r="G57" s="14">
        <f t="shared" si="2"/>
        <v>0</v>
      </c>
      <c r="H57" s="14"/>
      <c r="I57" s="15">
        <f t="shared" si="3"/>
        <v>0</v>
      </c>
      <c r="J57" s="15"/>
      <c r="K57" s="15">
        <f t="shared" si="1"/>
        <v>0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2">
      <c r="A58" s="14" t="s">
        <v>111</v>
      </c>
      <c r="B58" s="14" t="s">
        <v>111</v>
      </c>
      <c r="C58" s="14" t="s">
        <v>112</v>
      </c>
      <c r="D58" s="14" t="s">
        <v>86</v>
      </c>
      <c r="E58" s="14">
        <v>6</v>
      </c>
      <c r="F58" s="14"/>
      <c r="G58" s="14">
        <f t="shared" si="2"/>
        <v>0</v>
      </c>
      <c r="H58" s="14"/>
      <c r="I58" s="15">
        <f t="shared" si="3"/>
        <v>0</v>
      </c>
      <c r="J58" s="15"/>
      <c r="K58" s="15">
        <f t="shared" si="1"/>
        <v>0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">
      <c r="A59" s="14" t="s">
        <v>113</v>
      </c>
      <c r="B59" s="14" t="s">
        <v>111</v>
      </c>
      <c r="C59" s="14" t="s">
        <v>112</v>
      </c>
      <c r="D59" s="14" t="s">
        <v>86</v>
      </c>
      <c r="E59" s="14">
        <v>4</v>
      </c>
      <c r="F59" s="14"/>
      <c r="G59" s="14">
        <f t="shared" si="2"/>
        <v>0</v>
      </c>
      <c r="H59" s="14"/>
      <c r="I59" s="15">
        <f t="shared" si="3"/>
        <v>0</v>
      </c>
      <c r="J59" s="15"/>
      <c r="K59" s="15">
        <f t="shared" si="1"/>
        <v>0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">
      <c r="A60" s="14" t="s">
        <v>114</v>
      </c>
      <c r="B60" s="14" t="s">
        <v>115</v>
      </c>
      <c r="C60" s="14" t="s">
        <v>116</v>
      </c>
      <c r="D60" s="14" t="s">
        <v>86</v>
      </c>
      <c r="E60" s="14">
        <v>5</v>
      </c>
      <c r="F60" s="14"/>
      <c r="G60" s="14">
        <f t="shared" si="2"/>
        <v>0</v>
      </c>
      <c r="H60" s="14"/>
      <c r="I60" s="15">
        <f t="shared" si="3"/>
        <v>0</v>
      </c>
      <c r="J60" s="15"/>
      <c r="K60" s="15">
        <f t="shared" si="1"/>
        <v>0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">
      <c r="A61" s="14" t="s">
        <v>117</v>
      </c>
      <c r="B61" s="14" t="s">
        <v>108</v>
      </c>
      <c r="C61" s="14" t="s">
        <v>109</v>
      </c>
      <c r="D61" s="14" t="s">
        <v>86</v>
      </c>
      <c r="E61" s="14">
        <v>6</v>
      </c>
      <c r="F61" s="14"/>
      <c r="G61" s="14">
        <f t="shared" si="2"/>
        <v>0</v>
      </c>
      <c r="H61" s="14"/>
      <c r="I61" s="15">
        <f t="shared" si="3"/>
        <v>0</v>
      </c>
      <c r="J61" s="15"/>
      <c r="K61" s="15">
        <f t="shared" si="1"/>
        <v>0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2">
      <c r="A62" s="14" t="s">
        <v>118</v>
      </c>
      <c r="B62" s="14" t="s">
        <v>88</v>
      </c>
      <c r="C62" s="14" t="s">
        <v>89</v>
      </c>
      <c r="D62" s="14" t="s">
        <v>86</v>
      </c>
      <c r="E62" s="14">
        <v>8</v>
      </c>
      <c r="F62" s="14"/>
      <c r="G62" s="14">
        <f t="shared" si="2"/>
        <v>0</v>
      </c>
      <c r="H62" s="14"/>
      <c r="I62" s="15">
        <f t="shared" si="3"/>
        <v>0</v>
      </c>
      <c r="J62" s="15"/>
      <c r="K62" s="15">
        <f t="shared" si="1"/>
        <v>0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2">
      <c r="A63" s="14" t="s">
        <v>119</v>
      </c>
      <c r="B63" s="14" t="s">
        <v>98</v>
      </c>
      <c r="C63" s="14" t="s">
        <v>99</v>
      </c>
      <c r="D63" s="14" t="s">
        <v>86</v>
      </c>
      <c r="E63" s="14">
        <v>6</v>
      </c>
      <c r="F63" s="14"/>
      <c r="G63" s="14">
        <f t="shared" si="2"/>
        <v>0</v>
      </c>
      <c r="H63" s="14"/>
      <c r="I63" s="15">
        <f t="shared" si="3"/>
        <v>0</v>
      </c>
      <c r="J63" s="15"/>
      <c r="K63" s="15">
        <f t="shared" si="1"/>
        <v>0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2">
      <c r="A64" s="14" t="s">
        <v>120</v>
      </c>
      <c r="B64" s="14" t="s">
        <v>108</v>
      </c>
      <c r="C64" s="14" t="s">
        <v>109</v>
      </c>
      <c r="D64" s="14" t="s">
        <v>86</v>
      </c>
      <c r="E64" s="14">
        <v>6</v>
      </c>
      <c r="F64" s="14"/>
      <c r="G64" s="14">
        <f t="shared" si="2"/>
        <v>0</v>
      </c>
      <c r="H64" s="14"/>
      <c r="I64" s="15">
        <f t="shared" si="3"/>
        <v>0</v>
      </c>
      <c r="J64" s="15"/>
      <c r="K64" s="15">
        <f t="shared" si="1"/>
        <v>0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2">
      <c r="A65" s="14" t="s">
        <v>121</v>
      </c>
      <c r="B65" s="14" t="s">
        <v>111</v>
      </c>
      <c r="C65" s="14" t="s">
        <v>112</v>
      </c>
      <c r="D65" s="14" t="s">
        <v>86</v>
      </c>
      <c r="E65" s="14">
        <v>4</v>
      </c>
      <c r="F65" s="14"/>
      <c r="G65" s="14">
        <f t="shared" si="2"/>
        <v>0</v>
      </c>
      <c r="H65" s="14"/>
      <c r="I65" s="15">
        <f t="shared" si="3"/>
        <v>0</v>
      </c>
      <c r="J65" s="15"/>
      <c r="K65" s="15">
        <f t="shared" si="1"/>
        <v>0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2">
      <c r="A66" s="14" t="s">
        <v>122</v>
      </c>
      <c r="B66" s="14" t="s">
        <v>93</v>
      </c>
      <c r="C66" s="14" t="s">
        <v>94</v>
      </c>
      <c r="D66" s="14" t="s">
        <v>86</v>
      </c>
      <c r="E66" s="14">
        <v>5</v>
      </c>
      <c r="F66" s="14"/>
      <c r="G66" s="14">
        <f t="shared" si="2"/>
        <v>0</v>
      </c>
      <c r="H66" s="14"/>
      <c r="I66" s="15">
        <f t="shared" si="3"/>
        <v>0</v>
      </c>
      <c r="J66" s="15"/>
      <c r="K66" s="15">
        <f t="shared" si="1"/>
        <v>0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">
      <c r="A67" s="14" t="s">
        <v>123</v>
      </c>
      <c r="B67" s="14" t="s">
        <v>101</v>
      </c>
      <c r="C67" s="14" t="s">
        <v>102</v>
      </c>
      <c r="D67" s="14" t="s">
        <v>86</v>
      </c>
      <c r="E67" s="14">
        <v>5</v>
      </c>
      <c r="F67" s="14"/>
      <c r="G67" s="14">
        <f t="shared" si="2"/>
        <v>0</v>
      </c>
      <c r="H67" s="14"/>
      <c r="I67" s="15">
        <f t="shared" si="3"/>
        <v>0</v>
      </c>
      <c r="J67" s="15"/>
      <c r="K67" s="15">
        <f t="shared" si="1"/>
        <v>0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">
      <c r="A68" s="14" t="s">
        <v>124</v>
      </c>
      <c r="B68" s="14" t="s">
        <v>108</v>
      </c>
      <c r="C68" s="14" t="s">
        <v>109</v>
      </c>
      <c r="D68" s="14" t="s">
        <v>86</v>
      </c>
      <c r="E68" s="14">
        <v>2</v>
      </c>
      <c r="F68" s="14"/>
      <c r="G68" s="14">
        <f t="shared" si="2"/>
        <v>0</v>
      </c>
      <c r="H68" s="14"/>
      <c r="I68" s="15">
        <f t="shared" si="3"/>
        <v>0</v>
      </c>
      <c r="J68" s="15"/>
      <c r="K68" s="15">
        <f t="shared" si="1"/>
        <v>0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">
      <c r="A69" s="17" t="s">
        <v>125</v>
      </c>
      <c r="B69" s="14" t="s">
        <v>98</v>
      </c>
      <c r="C69" s="14" t="s">
        <v>99</v>
      </c>
      <c r="D69" s="14" t="s">
        <v>86</v>
      </c>
      <c r="E69" s="14">
        <v>5</v>
      </c>
      <c r="F69" s="14"/>
      <c r="G69" s="14">
        <f t="shared" si="2"/>
        <v>0</v>
      </c>
      <c r="H69" s="14"/>
      <c r="I69" s="15">
        <f t="shared" si="3"/>
        <v>0</v>
      </c>
      <c r="J69" s="15"/>
      <c r="K69" s="15">
        <f t="shared" ref="K69:K130" si="4">J69*100000</f>
        <v>0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">
      <c r="A70" s="14" t="s">
        <v>126</v>
      </c>
      <c r="B70" s="14" t="s">
        <v>127</v>
      </c>
      <c r="C70" s="14" t="s">
        <v>128</v>
      </c>
      <c r="D70" s="14" t="s">
        <v>86</v>
      </c>
      <c r="E70" s="14">
        <v>6</v>
      </c>
      <c r="F70" s="14"/>
      <c r="G70" s="14">
        <f t="shared" si="2"/>
        <v>0</v>
      </c>
      <c r="H70" s="14"/>
      <c r="I70" s="15">
        <f t="shared" si="3"/>
        <v>0</v>
      </c>
      <c r="J70" s="15"/>
      <c r="K70" s="15">
        <f t="shared" si="4"/>
        <v>0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2">
      <c r="A71" s="14" t="s">
        <v>129</v>
      </c>
      <c r="B71" s="14" t="s">
        <v>111</v>
      </c>
      <c r="C71" s="14" t="s">
        <v>112</v>
      </c>
      <c r="D71" s="14" t="s">
        <v>86</v>
      </c>
      <c r="E71" s="14">
        <v>5</v>
      </c>
      <c r="F71" s="14"/>
      <c r="G71" s="14">
        <f t="shared" si="2"/>
        <v>0</v>
      </c>
      <c r="H71" s="14"/>
      <c r="I71" s="15">
        <f t="shared" si="3"/>
        <v>0</v>
      </c>
      <c r="J71" s="15"/>
      <c r="K71" s="15">
        <f t="shared" si="4"/>
        <v>0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2">
      <c r="A72" s="14" t="s">
        <v>130</v>
      </c>
      <c r="B72" s="14" t="s">
        <v>93</v>
      </c>
      <c r="C72" s="14" t="s">
        <v>94</v>
      </c>
      <c r="D72" s="14" t="s">
        <v>86</v>
      </c>
      <c r="E72" s="14">
        <v>6</v>
      </c>
      <c r="F72" s="14"/>
      <c r="G72" s="14">
        <f t="shared" ref="G72:G82" si="5">F72*65000</f>
        <v>0</v>
      </c>
      <c r="H72" s="14"/>
      <c r="I72" s="15">
        <f t="shared" si="3"/>
        <v>0</v>
      </c>
      <c r="J72" s="15"/>
      <c r="K72" s="15">
        <f t="shared" si="4"/>
        <v>0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2">
      <c r="A73" s="17" t="s">
        <v>131</v>
      </c>
      <c r="B73" s="14" t="s">
        <v>98</v>
      </c>
      <c r="C73" s="14" t="s">
        <v>99</v>
      </c>
      <c r="D73" s="14" t="s">
        <v>86</v>
      </c>
      <c r="E73" s="14">
        <v>7</v>
      </c>
      <c r="F73" s="14"/>
      <c r="G73" s="14">
        <f t="shared" si="5"/>
        <v>0</v>
      </c>
      <c r="H73" s="14"/>
      <c r="I73" s="15">
        <f t="shared" ref="I73:I82" si="6">H73*68000</f>
        <v>0</v>
      </c>
      <c r="J73" s="15"/>
      <c r="K73" s="15">
        <f t="shared" si="4"/>
        <v>0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2">
      <c r="A74" s="14" t="s">
        <v>101</v>
      </c>
      <c r="B74" s="14" t="s">
        <v>101</v>
      </c>
      <c r="C74" s="14" t="s">
        <v>102</v>
      </c>
      <c r="D74" s="14" t="s">
        <v>86</v>
      </c>
      <c r="E74" s="14">
        <v>8</v>
      </c>
      <c r="F74" s="14"/>
      <c r="G74" s="14">
        <f t="shared" si="5"/>
        <v>0</v>
      </c>
      <c r="H74" s="14"/>
      <c r="I74" s="15">
        <f t="shared" si="6"/>
        <v>0</v>
      </c>
      <c r="J74" s="15"/>
      <c r="K74" s="15">
        <f t="shared" si="4"/>
        <v>0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2">
      <c r="A75" s="17" t="s">
        <v>132</v>
      </c>
      <c r="B75" s="14" t="s">
        <v>127</v>
      </c>
      <c r="C75" s="14" t="s">
        <v>128</v>
      </c>
      <c r="D75" s="14" t="s">
        <v>86</v>
      </c>
      <c r="E75" s="14">
        <v>7</v>
      </c>
      <c r="F75" s="14"/>
      <c r="G75" s="14">
        <f t="shared" si="5"/>
        <v>0</v>
      </c>
      <c r="H75" s="14"/>
      <c r="I75" s="15">
        <f t="shared" si="6"/>
        <v>0</v>
      </c>
      <c r="J75" s="15"/>
      <c r="K75" s="15">
        <f t="shared" si="4"/>
        <v>0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2">
      <c r="A76" s="14" t="s">
        <v>133</v>
      </c>
      <c r="B76" s="14" t="s">
        <v>95</v>
      </c>
      <c r="C76" s="14" t="s">
        <v>96</v>
      </c>
      <c r="D76" s="14" t="s">
        <v>86</v>
      </c>
      <c r="E76" s="14">
        <v>8</v>
      </c>
      <c r="F76" s="14"/>
      <c r="G76" s="14">
        <f t="shared" si="5"/>
        <v>0</v>
      </c>
      <c r="H76" s="14"/>
      <c r="I76" s="15">
        <f t="shared" si="6"/>
        <v>0</v>
      </c>
      <c r="J76" s="15"/>
      <c r="K76" s="15">
        <f t="shared" si="4"/>
        <v>0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2">
      <c r="A77" s="14" t="s">
        <v>134</v>
      </c>
      <c r="B77" s="14" t="s">
        <v>108</v>
      </c>
      <c r="C77" s="14" t="s">
        <v>109</v>
      </c>
      <c r="D77" s="14" t="s">
        <v>86</v>
      </c>
      <c r="E77" s="14">
        <v>6</v>
      </c>
      <c r="F77" s="14"/>
      <c r="G77" s="14">
        <f t="shared" si="5"/>
        <v>0</v>
      </c>
      <c r="H77" s="14"/>
      <c r="I77" s="15">
        <f t="shared" si="6"/>
        <v>0</v>
      </c>
      <c r="J77" s="15"/>
      <c r="K77" s="15">
        <f t="shared" si="4"/>
        <v>0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x14ac:dyDescent="0.2">
      <c r="A78" s="14" t="s">
        <v>93</v>
      </c>
      <c r="B78" s="14" t="s">
        <v>93</v>
      </c>
      <c r="C78" s="14" t="s">
        <v>94</v>
      </c>
      <c r="D78" s="14" t="s">
        <v>86</v>
      </c>
      <c r="E78" s="14">
        <v>5</v>
      </c>
      <c r="F78" s="14"/>
      <c r="G78" s="14">
        <f t="shared" si="5"/>
        <v>0</v>
      </c>
      <c r="H78" s="14"/>
      <c r="I78" s="15">
        <f t="shared" si="6"/>
        <v>0</v>
      </c>
      <c r="J78" s="15"/>
      <c r="K78" s="15">
        <f t="shared" si="4"/>
        <v>0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x14ac:dyDescent="0.2">
      <c r="A79" s="14" t="s">
        <v>135</v>
      </c>
      <c r="B79" s="14" t="s">
        <v>127</v>
      </c>
      <c r="C79" s="14" t="s">
        <v>128</v>
      </c>
      <c r="D79" s="14" t="s">
        <v>86</v>
      </c>
      <c r="E79" s="14">
        <v>6</v>
      </c>
      <c r="F79" s="14"/>
      <c r="G79" s="14">
        <f t="shared" si="5"/>
        <v>0</v>
      </c>
      <c r="H79" s="14"/>
      <c r="I79" s="15">
        <f t="shared" si="6"/>
        <v>0</v>
      </c>
      <c r="J79" s="15"/>
      <c r="K79" s="15">
        <f t="shared" si="4"/>
        <v>0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x14ac:dyDescent="0.2">
      <c r="A80" s="14" t="s">
        <v>127</v>
      </c>
      <c r="B80" s="14" t="s">
        <v>127</v>
      </c>
      <c r="C80" s="14" t="s">
        <v>128</v>
      </c>
      <c r="D80" s="14" t="s">
        <v>86</v>
      </c>
      <c r="E80" s="14">
        <v>7</v>
      </c>
      <c r="F80" s="14"/>
      <c r="G80" s="14">
        <f t="shared" si="5"/>
        <v>0</v>
      </c>
      <c r="H80" s="14"/>
      <c r="I80" s="15">
        <f t="shared" si="6"/>
        <v>0</v>
      </c>
      <c r="J80" s="15"/>
      <c r="K80" s="15">
        <f t="shared" si="4"/>
        <v>0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x14ac:dyDescent="0.2">
      <c r="A81" s="14" t="s">
        <v>136</v>
      </c>
      <c r="B81" s="14" t="s">
        <v>95</v>
      </c>
      <c r="C81" s="14" t="s">
        <v>96</v>
      </c>
      <c r="D81" s="14" t="s">
        <v>86</v>
      </c>
      <c r="E81" s="14">
        <v>5</v>
      </c>
      <c r="F81" s="14"/>
      <c r="G81" s="14">
        <f t="shared" si="5"/>
        <v>0</v>
      </c>
      <c r="H81" s="14"/>
      <c r="I81" s="15">
        <f t="shared" si="6"/>
        <v>0</v>
      </c>
      <c r="J81" s="15"/>
      <c r="K81" s="15">
        <f t="shared" si="4"/>
        <v>0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x14ac:dyDescent="0.2">
      <c r="A82" s="14" t="s">
        <v>115</v>
      </c>
      <c r="B82" s="14" t="s">
        <v>115</v>
      </c>
      <c r="C82" s="14" t="s">
        <v>116</v>
      </c>
      <c r="D82" s="14" t="s">
        <v>86</v>
      </c>
      <c r="E82" s="14">
        <v>7</v>
      </c>
      <c r="F82" s="14"/>
      <c r="G82" s="14">
        <f t="shared" si="5"/>
        <v>0</v>
      </c>
      <c r="H82" s="14"/>
      <c r="I82" s="15">
        <f t="shared" si="6"/>
        <v>0</v>
      </c>
      <c r="J82" s="15"/>
      <c r="K82" s="15">
        <f t="shared" si="4"/>
        <v>0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x14ac:dyDescent="0.2">
      <c r="A83" s="14" t="s">
        <v>137</v>
      </c>
      <c r="B83" s="14" t="s">
        <v>138</v>
      </c>
      <c r="C83" s="14" t="s">
        <v>139</v>
      </c>
      <c r="D83" s="14" t="s">
        <v>140</v>
      </c>
      <c r="E83" s="14">
        <v>5</v>
      </c>
      <c r="F83" s="14"/>
      <c r="G83" s="14"/>
      <c r="H83" s="14"/>
      <c r="I83" s="15">
        <f t="shared" ref="I83:I90" si="7">H83*55000</f>
        <v>0</v>
      </c>
      <c r="J83" s="15"/>
      <c r="K83" s="15">
        <f t="shared" si="4"/>
        <v>0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x14ac:dyDescent="0.2">
      <c r="A84" s="14" t="s">
        <v>141</v>
      </c>
      <c r="B84" s="14" t="s">
        <v>138</v>
      </c>
      <c r="C84" s="14" t="s">
        <v>139</v>
      </c>
      <c r="D84" s="14" t="s">
        <v>140</v>
      </c>
      <c r="E84" s="14">
        <v>3</v>
      </c>
      <c r="F84" s="14"/>
      <c r="G84" s="14"/>
      <c r="H84" s="14"/>
      <c r="I84" s="15">
        <f t="shared" si="7"/>
        <v>0</v>
      </c>
      <c r="J84" s="15"/>
      <c r="K84" s="15">
        <f t="shared" si="4"/>
        <v>0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x14ac:dyDescent="0.2">
      <c r="A85" s="14" t="s">
        <v>142</v>
      </c>
      <c r="B85" s="14" t="s">
        <v>143</v>
      </c>
      <c r="C85" s="14" t="s">
        <v>144</v>
      </c>
      <c r="D85" s="14" t="s">
        <v>140</v>
      </c>
      <c r="E85" s="14">
        <v>4</v>
      </c>
      <c r="F85" s="14"/>
      <c r="G85" s="14"/>
      <c r="H85" s="14"/>
      <c r="I85" s="15">
        <f t="shared" si="7"/>
        <v>0</v>
      </c>
      <c r="J85" s="15"/>
      <c r="K85" s="15">
        <f t="shared" si="4"/>
        <v>0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x14ac:dyDescent="0.2">
      <c r="A86" s="14" t="s">
        <v>145</v>
      </c>
      <c r="B86" s="14" t="s">
        <v>138</v>
      </c>
      <c r="C86" s="14" t="s">
        <v>139</v>
      </c>
      <c r="D86" s="14" t="s">
        <v>140</v>
      </c>
      <c r="E86" s="14">
        <v>5</v>
      </c>
      <c r="F86" s="14"/>
      <c r="G86" s="14"/>
      <c r="H86" s="14"/>
      <c r="I86" s="15">
        <f t="shared" si="7"/>
        <v>0</v>
      </c>
      <c r="J86" s="15"/>
      <c r="K86" s="15">
        <f t="shared" si="4"/>
        <v>0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x14ac:dyDescent="0.2">
      <c r="A87" s="14" t="s">
        <v>146</v>
      </c>
      <c r="B87" s="14" t="s">
        <v>143</v>
      </c>
      <c r="C87" s="14" t="s">
        <v>144</v>
      </c>
      <c r="D87" s="14" t="s">
        <v>140</v>
      </c>
      <c r="E87" s="14">
        <v>5</v>
      </c>
      <c r="F87" s="14"/>
      <c r="G87" s="14"/>
      <c r="H87" s="14"/>
      <c r="I87" s="15">
        <f t="shared" si="7"/>
        <v>0</v>
      </c>
      <c r="J87" s="15"/>
      <c r="K87" s="15">
        <f t="shared" si="4"/>
        <v>0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x14ac:dyDescent="0.2">
      <c r="A88" s="14" t="s">
        <v>143</v>
      </c>
      <c r="B88" s="14" t="s">
        <v>143</v>
      </c>
      <c r="C88" s="14" t="s">
        <v>144</v>
      </c>
      <c r="D88" s="14" t="s">
        <v>140</v>
      </c>
      <c r="E88" s="14">
        <v>3</v>
      </c>
      <c r="F88" s="14"/>
      <c r="G88" s="14"/>
      <c r="H88" s="14"/>
      <c r="I88" s="15">
        <f t="shared" si="7"/>
        <v>0</v>
      </c>
      <c r="J88" s="15"/>
      <c r="K88" s="15">
        <f t="shared" si="4"/>
        <v>0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x14ac:dyDescent="0.2">
      <c r="A89" s="14" t="s">
        <v>147</v>
      </c>
      <c r="B89" s="14" t="s">
        <v>143</v>
      </c>
      <c r="C89" s="14" t="s">
        <v>144</v>
      </c>
      <c r="D89" s="14" t="s">
        <v>140</v>
      </c>
      <c r="E89" s="14">
        <v>5</v>
      </c>
      <c r="F89" s="14"/>
      <c r="G89" s="14"/>
      <c r="H89" s="14"/>
      <c r="I89" s="15">
        <f t="shared" si="7"/>
        <v>0</v>
      </c>
      <c r="J89" s="15"/>
      <c r="K89" s="15">
        <f t="shared" si="4"/>
        <v>0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x14ac:dyDescent="0.2">
      <c r="A90" s="14" t="s">
        <v>148</v>
      </c>
      <c r="B90" s="14" t="s">
        <v>138</v>
      </c>
      <c r="C90" s="14" t="s">
        <v>139</v>
      </c>
      <c r="D90" s="14" t="s">
        <v>140</v>
      </c>
      <c r="E90" s="14">
        <v>4</v>
      </c>
      <c r="F90" s="14"/>
      <c r="G90" s="14"/>
      <c r="H90" s="14"/>
      <c r="I90" s="15">
        <f t="shared" si="7"/>
        <v>0</v>
      </c>
      <c r="J90" s="15"/>
      <c r="K90" s="15">
        <f t="shared" si="4"/>
        <v>0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x14ac:dyDescent="0.2">
      <c r="A91" s="17" t="s">
        <v>149</v>
      </c>
      <c r="B91" s="14" t="s">
        <v>150</v>
      </c>
      <c r="C91" s="14" t="s">
        <v>151</v>
      </c>
      <c r="D91" s="14" t="s">
        <v>152</v>
      </c>
      <c r="E91" s="14">
        <v>5</v>
      </c>
      <c r="F91" s="14"/>
      <c r="G91" s="14">
        <f t="shared" ref="G91:G130" si="8">F91*65000</f>
        <v>0</v>
      </c>
      <c r="H91" s="14"/>
      <c r="I91" s="15">
        <f t="shared" ref="I91:I130" si="9">H91*68000</f>
        <v>0</v>
      </c>
      <c r="J91" s="15"/>
      <c r="K91" s="15">
        <f t="shared" si="4"/>
        <v>0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x14ac:dyDescent="0.2">
      <c r="A92" s="14" t="s">
        <v>153</v>
      </c>
      <c r="B92" s="14" t="s">
        <v>154</v>
      </c>
      <c r="C92" s="14" t="s">
        <v>155</v>
      </c>
      <c r="D92" s="14" t="s">
        <v>152</v>
      </c>
      <c r="E92" s="14">
        <v>3</v>
      </c>
      <c r="F92" s="14"/>
      <c r="G92" s="14">
        <f t="shared" si="8"/>
        <v>0</v>
      </c>
      <c r="H92" s="14"/>
      <c r="I92" s="15">
        <f t="shared" si="9"/>
        <v>0</v>
      </c>
      <c r="J92" s="15"/>
      <c r="K92" s="15">
        <f t="shared" si="4"/>
        <v>0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x14ac:dyDescent="0.2">
      <c r="A93" s="14" t="s">
        <v>156</v>
      </c>
      <c r="B93" s="14" t="s">
        <v>150</v>
      </c>
      <c r="C93" s="14" t="s">
        <v>151</v>
      </c>
      <c r="D93" s="14" t="s">
        <v>152</v>
      </c>
      <c r="E93" s="14">
        <v>6</v>
      </c>
      <c r="F93" s="14"/>
      <c r="G93" s="14">
        <f t="shared" si="8"/>
        <v>0</v>
      </c>
      <c r="H93" s="14"/>
      <c r="I93" s="15">
        <f t="shared" si="9"/>
        <v>0</v>
      </c>
      <c r="J93" s="15"/>
      <c r="K93" s="15">
        <f t="shared" si="4"/>
        <v>0</v>
      </c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x14ac:dyDescent="0.2">
      <c r="A94" s="14" t="s">
        <v>157</v>
      </c>
      <c r="B94" s="14" t="s">
        <v>158</v>
      </c>
      <c r="C94" s="14" t="s">
        <v>159</v>
      </c>
      <c r="D94" s="14" t="s">
        <v>152</v>
      </c>
      <c r="E94" s="14">
        <v>3</v>
      </c>
      <c r="F94" s="14"/>
      <c r="G94" s="14">
        <f t="shared" si="8"/>
        <v>0</v>
      </c>
      <c r="H94" s="14"/>
      <c r="I94" s="15">
        <f t="shared" si="9"/>
        <v>0</v>
      </c>
      <c r="J94" s="15"/>
      <c r="K94" s="15">
        <f t="shared" si="4"/>
        <v>0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x14ac:dyDescent="0.2">
      <c r="A95" s="14" t="s">
        <v>160</v>
      </c>
      <c r="B95" s="14" t="s">
        <v>161</v>
      </c>
      <c r="C95" s="14" t="s">
        <v>162</v>
      </c>
      <c r="D95" s="14" t="s">
        <v>152</v>
      </c>
      <c r="E95" s="14">
        <v>6</v>
      </c>
      <c r="F95" s="14"/>
      <c r="G95" s="14">
        <f t="shared" si="8"/>
        <v>0</v>
      </c>
      <c r="H95" s="14"/>
      <c r="I95" s="15">
        <f t="shared" si="9"/>
        <v>0</v>
      </c>
      <c r="J95" s="15"/>
      <c r="K95" s="15">
        <f t="shared" si="4"/>
        <v>0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x14ac:dyDescent="0.2">
      <c r="A96" s="17" t="s">
        <v>163</v>
      </c>
      <c r="B96" s="14" t="s">
        <v>164</v>
      </c>
      <c r="C96" s="14" t="s">
        <v>165</v>
      </c>
      <c r="D96" s="14" t="s">
        <v>152</v>
      </c>
      <c r="E96" s="14">
        <v>6</v>
      </c>
      <c r="F96" s="14"/>
      <c r="G96" s="14">
        <f t="shared" si="8"/>
        <v>0</v>
      </c>
      <c r="H96" s="14"/>
      <c r="I96" s="15">
        <f t="shared" si="9"/>
        <v>0</v>
      </c>
      <c r="J96" s="15"/>
      <c r="K96" s="15">
        <f t="shared" si="4"/>
        <v>0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x14ac:dyDescent="0.2">
      <c r="A97" s="14" t="s">
        <v>166</v>
      </c>
      <c r="B97" s="14" t="s">
        <v>167</v>
      </c>
      <c r="C97" s="14" t="s">
        <v>168</v>
      </c>
      <c r="D97" s="14" t="s">
        <v>152</v>
      </c>
      <c r="E97" s="14">
        <v>5</v>
      </c>
      <c r="F97" s="14"/>
      <c r="G97" s="14">
        <f t="shared" si="8"/>
        <v>0</v>
      </c>
      <c r="H97" s="14"/>
      <c r="I97" s="15">
        <f t="shared" si="9"/>
        <v>0</v>
      </c>
      <c r="J97" s="15"/>
      <c r="K97" s="15">
        <f t="shared" si="4"/>
        <v>0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x14ac:dyDescent="0.2">
      <c r="A98" s="14" t="s">
        <v>169</v>
      </c>
      <c r="B98" s="14" t="s">
        <v>161</v>
      </c>
      <c r="C98" s="14" t="s">
        <v>162</v>
      </c>
      <c r="D98" s="14" t="s">
        <v>152</v>
      </c>
      <c r="E98" s="14">
        <v>4</v>
      </c>
      <c r="F98" s="14"/>
      <c r="G98" s="14">
        <f t="shared" si="8"/>
        <v>0</v>
      </c>
      <c r="H98" s="14"/>
      <c r="I98" s="15">
        <f t="shared" si="9"/>
        <v>0</v>
      </c>
      <c r="J98" s="15"/>
      <c r="K98" s="15">
        <f t="shared" si="4"/>
        <v>0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x14ac:dyDescent="0.2">
      <c r="A99" s="14" t="s">
        <v>170</v>
      </c>
      <c r="B99" s="14" t="s">
        <v>158</v>
      </c>
      <c r="C99" s="14" t="s">
        <v>159</v>
      </c>
      <c r="D99" s="14" t="s">
        <v>152</v>
      </c>
      <c r="E99" s="14">
        <v>5</v>
      </c>
      <c r="F99" s="14"/>
      <c r="G99" s="14">
        <f t="shared" si="8"/>
        <v>0</v>
      </c>
      <c r="H99" s="14"/>
      <c r="I99" s="15">
        <f t="shared" si="9"/>
        <v>0</v>
      </c>
      <c r="J99" s="15"/>
      <c r="K99" s="15">
        <f t="shared" si="4"/>
        <v>0</v>
      </c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x14ac:dyDescent="0.2">
      <c r="A100" s="14" t="s">
        <v>171</v>
      </c>
      <c r="B100" s="14" t="s">
        <v>150</v>
      </c>
      <c r="C100" s="14" t="s">
        <v>151</v>
      </c>
      <c r="D100" s="14" t="s">
        <v>152</v>
      </c>
      <c r="E100" s="14">
        <v>5</v>
      </c>
      <c r="F100" s="14"/>
      <c r="G100" s="14">
        <f t="shared" si="8"/>
        <v>0</v>
      </c>
      <c r="H100" s="14"/>
      <c r="I100" s="15">
        <f t="shared" si="9"/>
        <v>0</v>
      </c>
      <c r="J100" s="15"/>
      <c r="K100" s="15">
        <f t="shared" si="4"/>
        <v>0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x14ac:dyDescent="0.2">
      <c r="A101" s="14" t="s">
        <v>172</v>
      </c>
      <c r="B101" s="14" t="s">
        <v>152</v>
      </c>
      <c r="C101" s="14" t="s">
        <v>173</v>
      </c>
      <c r="D101" s="14" t="s">
        <v>152</v>
      </c>
      <c r="E101" s="14">
        <v>4</v>
      </c>
      <c r="F101" s="14"/>
      <c r="G101" s="14">
        <f t="shared" si="8"/>
        <v>0</v>
      </c>
      <c r="H101" s="14"/>
      <c r="I101" s="15">
        <f t="shared" si="9"/>
        <v>0</v>
      </c>
      <c r="J101" s="15"/>
      <c r="K101" s="15">
        <f t="shared" si="4"/>
        <v>0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x14ac:dyDescent="0.2">
      <c r="A102" s="14" t="s">
        <v>174</v>
      </c>
      <c r="B102" s="14" t="s">
        <v>175</v>
      </c>
      <c r="C102" s="14" t="s">
        <v>176</v>
      </c>
      <c r="D102" s="14" t="s">
        <v>152</v>
      </c>
      <c r="E102" s="14">
        <v>5</v>
      </c>
      <c r="F102" s="14"/>
      <c r="G102" s="14">
        <f t="shared" si="8"/>
        <v>0</v>
      </c>
      <c r="H102" s="14"/>
      <c r="I102" s="15">
        <f t="shared" si="9"/>
        <v>0</v>
      </c>
      <c r="J102" s="15"/>
      <c r="K102" s="15">
        <f t="shared" si="4"/>
        <v>0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x14ac:dyDescent="0.2">
      <c r="A103" s="14" t="s">
        <v>177</v>
      </c>
      <c r="B103" s="14" t="s">
        <v>167</v>
      </c>
      <c r="C103" s="14" t="s">
        <v>168</v>
      </c>
      <c r="D103" s="14" t="s">
        <v>152</v>
      </c>
      <c r="E103" s="14">
        <v>5</v>
      </c>
      <c r="F103" s="14"/>
      <c r="G103" s="14">
        <f t="shared" si="8"/>
        <v>0</v>
      </c>
      <c r="H103" s="14"/>
      <c r="I103" s="15">
        <f t="shared" si="9"/>
        <v>0</v>
      </c>
      <c r="J103" s="15"/>
      <c r="K103" s="15">
        <f t="shared" si="4"/>
        <v>0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x14ac:dyDescent="0.2">
      <c r="A104" s="14" t="s">
        <v>158</v>
      </c>
      <c r="B104" s="14" t="s">
        <v>158</v>
      </c>
      <c r="C104" s="14" t="s">
        <v>159</v>
      </c>
      <c r="D104" s="14" t="s">
        <v>152</v>
      </c>
      <c r="E104" s="14">
        <v>5</v>
      </c>
      <c r="F104" s="14"/>
      <c r="G104" s="14">
        <f t="shared" si="8"/>
        <v>0</v>
      </c>
      <c r="H104" s="14"/>
      <c r="I104" s="15">
        <f t="shared" si="9"/>
        <v>0</v>
      </c>
      <c r="J104" s="15"/>
      <c r="K104" s="15">
        <f t="shared" si="4"/>
        <v>0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x14ac:dyDescent="0.2">
      <c r="A105" s="14" t="s">
        <v>150</v>
      </c>
      <c r="B105" s="14" t="s">
        <v>150</v>
      </c>
      <c r="C105" s="14" t="s">
        <v>151</v>
      </c>
      <c r="D105" s="14" t="s">
        <v>152</v>
      </c>
      <c r="E105" s="14">
        <v>7</v>
      </c>
      <c r="F105" s="14"/>
      <c r="G105" s="14">
        <f t="shared" si="8"/>
        <v>0</v>
      </c>
      <c r="H105" s="14"/>
      <c r="I105" s="15">
        <f t="shared" si="9"/>
        <v>0</v>
      </c>
      <c r="J105" s="15"/>
      <c r="K105" s="15">
        <f t="shared" si="4"/>
        <v>0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x14ac:dyDescent="0.2">
      <c r="A106" s="14" t="s">
        <v>164</v>
      </c>
      <c r="B106" s="14" t="s">
        <v>164</v>
      </c>
      <c r="C106" s="14" t="s">
        <v>165</v>
      </c>
      <c r="D106" s="14" t="s">
        <v>152</v>
      </c>
      <c r="E106" s="14">
        <v>5</v>
      </c>
      <c r="F106" s="14"/>
      <c r="G106" s="14">
        <f t="shared" si="8"/>
        <v>0</v>
      </c>
      <c r="H106" s="14"/>
      <c r="I106" s="15">
        <f t="shared" si="9"/>
        <v>0</v>
      </c>
      <c r="J106" s="15"/>
      <c r="K106" s="15">
        <f t="shared" si="4"/>
        <v>0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x14ac:dyDescent="0.2">
      <c r="A107" s="14" t="s">
        <v>178</v>
      </c>
      <c r="B107" s="14" t="s">
        <v>154</v>
      </c>
      <c r="C107" s="14" t="s">
        <v>155</v>
      </c>
      <c r="D107" s="14" t="s">
        <v>152</v>
      </c>
      <c r="E107" s="14">
        <v>7</v>
      </c>
      <c r="F107" s="14"/>
      <c r="G107" s="14">
        <f t="shared" si="8"/>
        <v>0</v>
      </c>
      <c r="H107" s="14"/>
      <c r="I107" s="15">
        <f t="shared" si="9"/>
        <v>0</v>
      </c>
      <c r="J107" s="15"/>
      <c r="K107" s="15">
        <f t="shared" si="4"/>
        <v>0</v>
      </c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x14ac:dyDescent="0.2">
      <c r="A108" s="14" t="s">
        <v>179</v>
      </c>
      <c r="B108" s="14" t="s">
        <v>152</v>
      </c>
      <c r="C108" s="14" t="s">
        <v>173</v>
      </c>
      <c r="D108" s="14" t="s">
        <v>152</v>
      </c>
      <c r="E108" s="14">
        <v>2</v>
      </c>
      <c r="F108" s="14"/>
      <c r="G108" s="14">
        <f t="shared" si="8"/>
        <v>0</v>
      </c>
      <c r="H108" s="14"/>
      <c r="I108" s="15">
        <f t="shared" si="9"/>
        <v>0</v>
      </c>
      <c r="J108" s="15"/>
      <c r="K108" s="15">
        <f t="shared" si="4"/>
        <v>0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x14ac:dyDescent="0.2">
      <c r="A109" s="14" t="s">
        <v>180</v>
      </c>
      <c r="B109" s="14" t="s">
        <v>152</v>
      </c>
      <c r="C109" s="14" t="s">
        <v>173</v>
      </c>
      <c r="D109" s="14" t="s">
        <v>152</v>
      </c>
      <c r="E109" s="14">
        <v>5</v>
      </c>
      <c r="F109" s="14"/>
      <c r="G109" s="14">
        <f t="shared" si="8"/>
        <v>0</v>
      </c>
      <c r="H109" s="14"/>
      <c r="I109" s="15">
        <f t="shared" si="9"/>
        <v>0</v>
      </c>
      <c r="J109" s="15"/>
      <c r="K109" s="15">
        <f t="shared" si="4"/>
        <v>0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x14ac:dyDescent="0.2">
      <c r="A110" s="17" t="s">
        <v>181</v>
      </c>
      <c r="B110" s="14" t="s">
        <v>167</v>
      </c>
      <c r="C110" s="14" t="s">
        <v>168</v>
      </c>
      <c r="D110" s="14" t="s">
        <v>152</v>
      </c>
      <c r="E110" s="14">
        <v>6</v>
      </c>
      <c r="F110" s="14"/>
      <c r="G110" s="14">
        <f t="shared" si="8"/>
        <v>0</v>
      </c>
      <c r="H110" s="14"/>
      <c r="I110" s="15">
        <f t="shared" si="9"/>
        <v>0</v>
      </c>
      <c r="J110" s="15"/>
      <c r="K110" s="15">
        <f t="shared" si="4"/>
        <v>0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x14ac:dyDescent="0.2">
      <c r="A111" s="14" t="s">
        <v>167</v>
      </c>
      <c r="B111" s="14" t="s">
        <v>167</v>
      </c>
      <c r="C111" s="14" t="s">
        <v>168</v>
      </c>
      <c r="D111" s="14" t="s">
        <v>152</v>
      </c>
      <c r="E111" s="14">
        <v>6</v>
      </c>
      <c r="F111" s="14"/>
      <c r="G111" s="14">
        <f t="shared" si="8"/>
        <v>0</v>
      </c>
      <c r="H111" s="14"/>
      <c r="I111" s="15">
        <f t="shared" si="9"/>
        <v>0</v>
      </c>
      <c r="J111" s="15"/>
      <c r="K111" s="15">
        <f t="shared" si="4"/>
        <v>0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x14ac:dyDescent="0.2">
      <c r="A112" s="14" t="s">
        <v>182</v>
      </c>
      <c r="B112" s="14" t="s">
        <v>164</v>
      </c>
      <c r="C112" s="14" t="s">
        <v>165</v>
      </c>
      <c r="D112" s="14" t="s">
        <v>152</v>
      </c>
      <c r="E112" s="14">
        <v>7</v>
      </c>
      <c r="F112" s="14"/>
      <c r="G112" s="14">
        <f t="shared" si="8"/>
        <v>0</v>
      </c>
      <c r="H112" s="14"/>
      <c r="I112" s="15">
        <f t="shared" si="9"/>
        <v>0</v>
      </c>
      <c r="J112" s="15"/>
      <c r="K112" s="15">
        <f t="shared" si="4"/>
        <v>0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x14ac:dyDescent="0.2">
      <c r="A113" s="14" t="s">
        <v>183</v>
      </c>
      <c r="B113" s="14" t="s">
        <v>154</v>
      </c>
      <c r="C113" s="14" t="s">
        <v>155</v>
      </c>
      <c r="D113" s="14" t="s">
        <v>152</v>
      </c>
      <c r="E113" s="14">
        <v>7</v>
      </c>
      <c r="F113" s="14"/>
      <c r="G113" s="14">
        <f t="shared" si="8"/>
        <v>0</v>
      </c>
      <c r="H113" s="14"/>
      <c r="I113" s="15">
        <f t="shared" si="9"/>
        <v>0</v>
      </c>
      <c r="J113" s="15"/>
      <c r="K113" s="15">
        <f t="shared" si="4"/>
        <v>0</v>
      </c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x14ac:dyDescent="0.2">
      <c r="A114" s="14" t="s">
        <v>152</v>
      </c>
      <c r="B114" s="14" t="s">
        <v>152</v>
      </c>
      <c r="C114" s="14" t="s">
        <v>173</v>
      </c>
      <c r="D114" s="14" t="s">
        <v>152</v>
      </c>
      <c r="E114" s="14">
        <v>5</v>
      </c>
      <c r="F114" s="14"/>
      <c r="G114" s="14">
        <f t="shared" si="8"/>
        <v>0</v>
      </c>
      <c r="H114" s="14"/>
      <c r="I114" s="15">
        <f t="shared" si="9"/>
        <v>0</v>
      </c>
      <c r="J114" s="15"/>
      <c r="K114" s="15">
        <f t="shared" si="4"/>
        <v>0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x14ac:dyDescent="0.2">
      <c r="A115" s="14" t="s">
        <v>184</v>
      </c>
      <c r="B115" s="14" t="s">
        <v>161</v>
      </c>
      <c r="C115" s="14" t="s">
        <v>162</v>
      </c>
      <c r="D115" s="14" t="s">
        <v>152</v>
      </c>
      <c r="E115" s="14">
        <v>3</v>
      </c>
      <c r="F115" s="14"/>
      <c r="G115" s="14">
        <f t="shared" si="8"/>
        <v>0</v>
      </c>
      <c r="H115" s="14"/>
      <c r="I115" s="15">
        <f t="shared" si="9"/>
        <v>0</v>
      </c>
      <c r="J115" s="15"/>
      <c r="K115" s="15">
        <f t="shared" si="4"/>
        <v>0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x14ac:dyDescent="0.2">
      <c r="A116" s="14" t="s">
        <v>185</v>
      </c>
      <c r="B116" s="14" t="s">
        <v>161</v>
      </c>
      <c r="C116" s="14" t="s">
        <v>162</v>
      </c>
      <c r="D116" s="14" t="s">
        <v>152</v>
      </c>
      <c r="E116" s="14">
        <v>4</v>
      </c>
      <c r="F116" s="14"/>
      <c r="G116" s="14">
        <f t="shared" si="8"/>
        <v>0</v>
      </c>
      <c r="H116" s="14"/>
      <c r="I116" s="15">
        <f t="shared" si="9"/>
        <v>0</v>
      </c>
      <c r="J116" s="15"/>
      <c r="K116" s="15">
        <f t="shared" si="4"/>
        <v>0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x14ac:dyDescent="0.2">
      <c r="A117" s="14" t="s">
        <v>186</v>
      </c>
      <c r="B117" s="14" t="s">
        <v>152</v>
      </c>
      <c r="C117" s="14" t="s">
        <v>173</v>
      </c>
      <c r="D117" s="14" t="s">
        <v>152</v>
      </c>
      <c r="E117" s="14">
        <v>6</v>
      </c>
      <c r="F117" s="14"/>
      <c r="G117" s="14">
        <f t="shared" si="8"/>
        <v>0</v>
      </c>
      <c r="H117" s="14"/>
      <c r="I117" s="15">
        <f t="shared" si="9"/>
        <v>0</v>
      </c>
      <c r="J117" s="15"/>
      <c r="K117" s="15">
        <f t="shared" si="4"/>
        <v>0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x14ac:dyDescent="0.2">
      <c r="A118" s="17" t="s">
        <v>187</v>
      </c>
      <c r="B118" s="14" t="s">
        <v>188</v>
      </c>
      <c r="C118" s="14" t="s">
        <v>189</v>
      </c>
      <c r="D118" s="14" t="s">
        <v>152</v>
      </c>
      <c r="E118" s="14">
        <v>8</v>
      </c>
      <c r="F118" s="14"/>
      <c r="G118" s="14">
        <f t="shared" si="8"/>
        <v>0</v>
      </c>
      <c r="H118" s="14"/>
      <c r="I118" s="15">
        <f t="shared" si="9"/>
        <v>0</v>
      </c>
      <c r="J118" s="15"/>
      <c r="K118" s="15">
        <f t="shared" si="4"/>
        <v>0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x14ac:dyDescent="0.2">
      <c r="A119" s="14" t="s">
        <v>190</v>
      </c>
      <c r="B119" s="14" t="s">
        <v>150</v>
      </c>
      <c r="C119" s="14" t="s">
        <v>151</v>
      </c>
      <c r="D119" s="14" t="s">
        <v>152</v>
      </c>
      <c r="E119" s="14">
        <v>6</v>
      </c>
      <c r="F119" s="14"/>
      <c r="G119" s="14">
        <f t="shared" si="8"/>
        <v>0</v>
      </c>
      <c r="H119" s="14"/>
      <c r="I119" s="15">
        <f t="shared" si="9"/>
        <v>0</v>
      </c>
      <c r="J119" s="15"/>
      <c r="K119" s="15">
        <f t="shared" si="4"/>
        <v>0</v>
      </c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x14ac:dyDescent="0.2">
      <c r="A120" s="14" t="s">
        <v>188</v>
      </c>
      <c r="B120" s="14" t="s">
        <v>188</v>
      </c>
      <c r="C120" s="14" t="s">
        <v>189</v>
      </c>
      <c r="D120" s="14" t="s">
        <v>152</v>
      </c>
      <c r="E120" s="14">
        <v>6</v>
      </c>
      <c r="F120" s="14"/>
      <c r="G120" s="14">
        <f t="shared" si="8"/>
        <v>0</v>
      </c>
      <c r="H120" s="14"/>
      <c r="I120" s="15">
        <f t="shared" si="9"/>
        <v>0</v>
      </c>
      <c r="J120" s="15"/>
      <c r="K120" s="15">
        <f t="shared" si="4"/>
        <v>0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x14ac:dyDescent="0.2">
      <c r="A121" s="14" t="s">
        <v>191</v>
      </c>
      <c r="B121" s="14" t="s">
        <v>164</v>
      </c>
      <c r="C121" s="14" t="s">
        <v>165</v>
      </c>
      <c r="D121" s="14" t="s">
        <v>152</v>
      </c>
      <c r="E121" s="14">
        <v>7</v>
      </c>
      <c r="F121" s="14"/>
      <c r="G121" s="14">
        <f t="shared" si="8"/>
        <v>0</v>
      </c>
      <c r="H121" s="14"/>
      <c r="I121" s="15">
        <f t="shared" si="9"/>
        <v>0</v>
      </c>
      <c r="J121" s="15"/>
      <c r="K121" s="15">
        <f t="shared" si="4"/>
        <v>0</v>
      </c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x14ac:dyDescent="0.2">
      <c r="A122" s="17" t="s">
        <v>192</v>
      </c>
      <c r="B122" s="14" t="s">
        <v>188</v>
      </c>
      <c r="C122" s="14" t="s">
        <v>189</v>
      </c>
      <c r="D122" s="14" t="s">
        <v>152</v>
      </c>
      <c r="E122" s="14">
        <v>6</v>
      </c>
      <c r="F122" s="14"/>
      <c r="G122" s="14">
        <f t="shared" si="8"/>
        <v>0</v>
      </c>
      <c r="H122" s="14"/>
      <c r="I122" s="15">
        <f t="shared" si="9"/>
        <v>0</v>
      </c>
      <c r="J122" s="15"/>
      <c r="K122" s="15">
        <f t="shared" si="4"/>
        <v>0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x14ac:dyDescent="0.2">
      <c r="A123" s="14" t="s">
        <v>193</v>
      </c>
      <c r="B123" s="14" t="s">
        <v>194</v>
      </c>
      <c r="C123" s="14" t="s">
        <v>195</v>
      </c>
      <c r="D123" s="14" t="s">
        <v>152</v>
      </c>
      <c r="E123" s="14">
        <v>4</v>
      </c>
      <c r="F123" s="14"/>
      <c r="G123" s="14">
        <f t="shared" si="8"/>
        <v>0</v>
      </c>
      <c r="H123" s="14"/>
      <c r="I123" s="15">
        <f t="shared" si="9"/>
        <v>0</v>
      </c>
      <c r="J123" s="15"/>
      <c r="K123" s="15">
        <f t="shared" si="4"/>
        <v>0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x14ac:dyDescent="0.2">
      <c r="A124" s="14" t="s">
        <v>196</v>
      </c>
      <c r="B124" s="14" t="s">
        <v>194</v>
      </c>
      <c r="C124" s="14" t="s">
        <v>195</v>
      </c>
      <c r="D124" s="14" t="s">
        <v>152</v>
      </c>
      <c r="E124" s="14">
        <v>3</v>
      </c>
      <c r="F124" s="14"/>
      <c r="G124" s="14">
        <f t="shared" si="8"/>
        <v>0</v>
      </c>
      <c r="H124" s="14"/>
      <c r="I124" s="15">
        <f t="shared" si="9"/>
        <v>0</v>
      </c>
      <c r="J124" s="15"/>
      <c r="K124" s="15">
        <f t="shared" si="4"/>
        <v>0</v>
      </c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x14ac:dyDescent="0.2">
      <c r="A125" s="17" t="s">
        <v>197</v>
      </c>
      <c r="B125" s="14" t="s">
        <v>161</v>
      </c>
      <c r="C125" s="14" t="s">
        <v>162</v>
      </c>
      <c r="D125" s="14" t="s">
        <v>152</v>
      </c>
      <c r="E125" s="14">
        <v>6</v>
      </c>
      <c r="F125" s="14"/>
      <c r="G125" s="14">
        <f t="shared" si="8"/>
        <v>0</v>
      </c>
      <c r="H125" s="14"/>
      <c r="I125" s="15">
        <f t="shared" si="9"/>
        <v>0</v>
      </c>
      <c r="J125" s="15"/>
      <c r="K125" s="15">
        <f t="shared" si="4"/>
        <v>0</v>
      </c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x14ac:dyDescent="0.2">
      <c r="A126" s="14" t="s">
        <v>198</v>
      </c>
      <c r="B126" s="14" t="s">
        <v>175</v>
      </c>
      <c r="C126" s="14" t="s">
        <v>176</v>
      </c>
      <c r="D126" s="14" t="s">
        <v>152</v>
      </c>
      <c r="E126" s="14">
        <v>3</v>
      </c>
      <c r="F126" s="14"/>
      <c r="G126" s="14">
        <f t="shared" si="8"/>
        <v>0</v>
      </c>
      <c r="H126" s="14"/>
      <c r="I126" s="15">
        <f t="shared" si="9"/>
        <v>0</v>
      </c>
      <c r="J126" s="15"/>
      <c r="K126" s="15">
        <f t="shared" si="4"/>
        <v>0</v>
      </c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x14ac:dyDescent="0.2">
      <c r="A127" s="17" t="s">
        <v>199</v>
      </c>
      <c r="B127" s="14" t="s">
        <v>188</v>
      </c>
      <c r="C127" s="14" t="s">
        <v>189</v>
      </c>
      <c r="D127" s="14" t="s">
        <v>152</v>
      </c>
      <c r="E127" s="14">
        <v>3</v>
      </c>
      <c r="F127" s="14"/>
      <c r="G127" s="14">
        <f t="shared" si="8"/>
        <v>0</v>
      </c>
      <c r="H127" s="14"/>
      <c r="I127" s="15">
        <f t="shared" si="9"/>
        <v>0</v>
      </c>
      <c r="J127" s="15"/>
      <c r="K127" s="15">
        <f t="shared" si="4"/>
        <v>0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x14ac:dyDescent="0.2">
      <c r="A128" s="14" t="s">
        <v>200</v>
      </c>
      <c r="B128" s="14" t="s">
        <v>175</v>
      </c>
      <c r="C128" s="14" t="s">
        <v>176</v>
      </c>
      <c r="D128" s="14" t="s">
        <v>152</v>
      </c>
      <c r="E128" s="14">
        <v>8</v>
      </c>
      <c r="F128" s="14"/>
      <c r="G128" s="14">
        <f t="shared" si="8"/>
        <v>0</v>
      </c>
      <c r="H128" s="14"/>
      <c r="I128" s="15">
        <f t="shared" si="9"/>
        <v>0</v>
      </c>
      <c r="J128" s="15"/>
      <c r="K128" s="15">
        <f t="shared" si="4"/>
        <v>0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x14ac:dyDescent="0.2">
      <c r="A129" s="17" t="s">
        <v>201</v>
      </c>
      <c r="B129" s="14" t="s">
        <v>194</v>
      </c>
      <c r="C129" s="14" t="s">
        <v>195</v>
      </c>
      <c r="D129" s="14" t="s">
        <v>152</v>
      </c>
      <c r="E129" s="14">
        <v>5</v>
      </c>
      <c r="F129" s="14"/>
      <c r="G129" s="14">
        <f t="shared" si="8"/>
        <v>0</v>
      </c>
      <c r="H129" s="14"/>
      <c r="I129" s="15">
        <f t="shared" si="9"/>
        <v>0</v>
      </c>
      <c r="J129" s="15"/>
      <c r="K129" s="15">
        <f t="shared" si="4"/>
        <v>0</v>
      </c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x14ac:dyDescent="0.2">
      <c r="A130" s="14" t="s">
        <v>202</v>
      </c>
      <c r="B130" s="14" t="s">
        <v>194</v>
      </c>
      <c r="C130" s="14" t="s">
        <v>195</v>
      </c>
      <c r="D130" s="14" t="s">
        <v>152</v>
      </c>
      <c r="E130" s="14">
        <v>1</v>
      </c>
      <c r="F130" s="14"/>
      <c r="G130" s="14">
        <f t="shared" si="8"/>
        <v>0</v>
      </c>
      <c r="H130" s="14"/>
      <c r="I130" s="15">
        <f t="shared" si="9"/>
        <v>0</v>
      </c>
      <c r="J130" s="15"/>
      <c r="K130" s="15">
        <f t="shared" si="4"/>
        <v>0</v>
      </c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x14ac:dyDescent="0.2">
      <c r="A131" s="1"/>
      <c r="B131" s="1"/>
      <c r="C131" s="1"/>
      <c r="D131" s="1"/>
      <c r="E131" s="1"/>
      <c r="F131" s="1"/>
      <c r="G131" s="1"/>
      <c r="H131" s="1">
        <f>SUM(H4:H130)</f>
        <v>0</v>
      </c>
      <c r="I131" s="1">
        <f>SUM(I4:I130)</f>
        <v>0</v>
      </c>
      <c r="J131" s="1">
        <f>SUM(J4:J130)</f>
        <v>0</v>
      </c>
      <c r="K131" s="1">
        <f>SUM(K4:K130)</f>
        <v>0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</sheetData>
  <mergeCells count="17">
    <mergeCell ref="AI2:AK2"/>
    <mergeCell ref="U2:W2"/>
    <mergeCell ref="X2:Y2"/>
    <mergeCell ref="Z2:AA2"/>
    <mergeCell ref="AB2:AC2"/>
    <mergeCell ref="AD2:AE2"/>
    <mergeCell ref="AF2:AH2"/>
    <mergeCell ref="F1:L1"/>
    <mergeCell ref="M1:Q1"/>
    <mergeCell ref="R1:W1"/>
    <mergeCell ref="X1:AK1"/>
    <mergeCell ref="F2:G2"/>
    <mergeCell ref="H2:I2"/>
    <mergeCell ref="J2:L2"/>
    <mergeCell ref="M2:N2"/>
    <mergeCell ref="O2:Q2"/>
    <mergeCell ref="R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2025-12-11T06:36:47Z</dcterms:created>
  <dcterms:modified xsi:type="dcterms:W3CDTF">2025-12-11T06:36:55Z</dcterms:modified>
</cp:coreProperties>
</file>